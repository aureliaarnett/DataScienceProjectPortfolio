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codeName="ThisWorkbook"/>
  <mc:AlternateContent xmlns:mc="http://schemas.openxmlformats.org/markup-compatibility/2006">
    <mc:Choice Requires="x15">
      <x15ac:absPath xmlns:x15ac="http://schemas.microsoft.com/office/spreadsheetml/2010/11/ac" url="G:\IST\MyGroups\hhkhan\IST722\37695g3\Submission\"/>
    </mc:Choice>
  </mc:AlternateContent>
  <xr:revisionPtr revIDLastSave="0" documentId="13_ncr:1_{68B84459-862A-461F-B3FF-B14862F1C1F9}" xr6:coauthVersionLast="46" xr6:coauthVersionMax="46" xr10:uidLastSave="{00000000-0000-0000-0000-000000000000}"/>
  <bookViews>
    <workbookView xWindow="-110" yWindow="-110" windowWidth="25180" windowHeight="16260" tabRatio="634" firstSheet="1" activeTab="6" xr2:uid="{00000000-000D-0000-FFFF-FFFF00000000}"/>
  </bookViews>
  <sheets>
    <sheet name="Home" sheetId="155" r:id="rId1"/>
    <sheet name="ReadMe" sheetId="106" r:id="rId2"/>
    <sheet name="Change Log" sheetId="104" r:id="rId3"/>
    <sheet name="DimDate" sheetId="157" r:id="rId4"/>
    <sheet name="DimProduct" sheetId="161" r:id="rId5"/>
    <sheet name="DimCustomer" sheetId="158" r:id="rId6"/>
    <sheet name="FactPopularity" sheetId="175" r:id="rId7"/>
    <sheet name="ROLAP" sheetId="178" r:id="rId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75" l="1"/>
  <c r="B19" i="175"/>
  <c r="B18" i="175"/>
  <c r="B17" i="175"/>
  <c r="B16" i="175"/>
  <c r="B15" i="175"/>
  <c r="B14" i="175"/>
  <c r="Z15" i="161"/>
  <c r="Z14" i="161"/>
  <c r="E15" i="175"/>
  <c r="U13" i="175"/>
  <c r="B13" i="175"/>
  <c r="B15" i="158"/>
  <c r="B16" i="158"/>
  <c r="B17" i="158"/>
  <c r="B18" i="158"/>
  <c r="B14" i="158"/>
  <c r="U15" i="161"/>
  <c r="U14" i="161"/>
  <c r="B14" i="161"/>
  <c r="B15" i="161"/>
  <c r="B16" i="161"/>
  <c r="B13" i="1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2117A14-97BF-4226-A19C-EA45CBCFEA3C}">
      <text>
        <r>
          <rPr>
            <sz val="9"/>
            <color indexed="81"/>
            <rFont val="Tahoma"/>
            <family val="2"/>
          </rPr>
          <t>Physical table name (use brackets if necessary)</t>
        </r>
      </text>
    </comment>
    <comment ref="B3" authorId="0" shapeId="0" xr:uid="{06ECBC1E-4F9E-4BD2-8F34-B6D697B409B4}">
      <text>
        <r>
          <rPr>
            <sz val="9"/>
            <color indexed="81"/>
            <rFont val="Tahoma"/>
            <family val="2"/>
          </rPr>
          <t>Display or business name of the table (if this does not match the worksheet name, the links in the diagram do not work)</t>
        </r>
      </text>
    </comment>
    <comment ref="B4" authorId="0" shapeId="0" xr:uid="{E51CB3D2-3D1A-45E3-8FD1-CB2ECB64EB5A}">
      <text>
        <r>
          <rPr>
            <sz val="9"/>
            <color indexed="81"/>
            <rFont val="Tahoma"/>
            <family val="2"/>
          </rPr>
          <t>Schema name for this table (you must create the schema first - leave blank for default schema, e.g. dbo)</t>
        </r>
      </text>
    </comment>
    <comment ref="B5" authorId="0" shapeId="0" xr:uid="{88BBD6B4-E5F3-496C-8C3C-4963FB9A354C}">
      <text>
        <r>
          <rPr>
            <sz val="9"/>
            <color indexed="81"/>
            <rFont val="Tahoma"/>
            <family val="2"/>
          </rPr>
          <t>Description of this table, oriented to the business user.</t>
        </r>
      </text>
    </comment>
    <comment ref="B6" authorId="0" shapeId="0" xr:uid="{9256B7F3-B76B-45E1-BAE9-3CEA830767CD}">
      <text>
        <r>
          <rPr>
            <sz val="9"/>
            <color indexed="81"/>
            <rFont val="Tahoma"/>
            <family val="2"/>
          </rPr>
          <t xml:space="preserve">We often use the Comment field to insert a technical comment.
</t>
        </r>
      </text>
    </comment>
    <comment ref="B7" authorId="0" shapeId="0" xr:uid="{7AB49DCE-3B1C-4868-9A70-C00ED82FA56A}">
      <text>
        <r>
          <rPr>
            <sz val="9"/>
            <color indexed="81"/>
            <rFont val="Tahoma"/>
            <family val="2"/>
          </rPr>
          <t xml:space="preserve">If there's an important filter condition for the extract from the source, note it here. </t>
        </r>
      </text>
    </comment>
    <comment ref="B8" authorId="0" shapeId="0" xr:uid="{77B1D351-79A2-4F77-8E11-A144BABF99FF}">
      <text>
        <r>
          <rPr>
            <sz val="9"/>
            <color indexed="81"/>
            <rFont val="Tahoma"/>
            <family val="2"/>
          </rPr>
          <t xml:space="preserve">It's often helpful to note the approximate size of the table -- helps people understand the contents. </t>
        </r>
      </text>
    </comment>
    <comment ref="B9" authorId="0" shapeId="0" xr:uid="{C68CE5D3-FC4E-4A08-B195-569D98CCC9CE}">
      <text>
        <r>
          <rPr>
            <sz val="9"/>
            <color indexed="81"/>
            <rFont val="Tahoma"/>
            <family val="2"/>
          </rPr>
          <t>This indicator drives whether the macro will generate the script for this table.</t>
        </r>
      </text>
    </comment>
    <comment ref="J11" authorId="0" shapeId="0" xr:uid="{91BBF35E-1473-420F-A0B5-E5016D04915D}">
      <text>
        <r>
          <rPr>
            <sz val="9"/>
            <color indexed="81"/>
            <rFont val="Tahoma"/>
            <family val="2"/>
          </rPr>
          <t>These columns drive the generate SQL macro. We usually hide them during the modeling sessions, filling them in later.</t>
        </r>
      </text>
    </comment>
    <comment ref="Q11" authorId="0" shapeId="0" xr:uid="{445A39F7-2AEA-41FD-AB91-6C97CFC64AA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604E1488-520E-46D3-A351-128419C22D7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7E87302-15C3-4A75-AD14-FFC79CBD52F2}">
      <text>
        <r>
          <rPr>
            <sz val="9"/>
            <color indexed="81"/>
            <rFont val="Tahoma"/>
            <family val="2"/>
          </rPr>
          <t>Column physical name in the table definition. We recommend that physical and logical names be the same.</t>
        </r>
      </text>
    </comment>
    <comment ref="B12" authorId="0" shapeId="0" xr:uid="{2CF3B401-01BB-4D3E-88CD-EEF7BB1AA9E2}">
      <text>
        <r>
          <rPr>
            <sz val="9"/>
            <color indexed="81"/>
            <rFont val="Tahoma"/>
            <family val="2"/>
          </rPr>
          <t>Column logical or view name presented to the users. We recommend that physical and logical names be the same.</t>
        </r>
      </text>
    </comment>
    <comment ref="C12" authorId="0" shapeId="0" xr:uid="{BE9893AC-84DC-45A6-90A5-E5ED3A7A6ACF}">
      <text>
        <r>
          <rPr>
            <sz val="9"/>
            <color indexed="81"/>
            <rFont val="Tahoma"/>
            <family val="2"/>
          </rPr>
          <t xml:space="preserve">Description for the business users. Your dimensional design is not complete until this is filled in for absolutely all columns.
</t>
        </r>
      </text>
    </comment>
    <comment ref="D12" authorId="0" shapeId="0" xr:uid="{DA31922E-5767-41B2-B283-94812B8B6EA4}">
      <text>
        <r>
          <rPr>
            <sz val="9"/>
            <color indexed="81"/>
            <rFont val="Tahoma"/>
            <family val="2"/>
          </rPr>
          <t xml:space="preserve">Used to populate the "Unknown member" row (surrogate key = -1) in the table.
</t>
        </r>
      </text>
    </comment>
    <comment ref="E12" authorId="0" shapeId="0" xr:uid="{8D28752A-D57F-4288-8E8F-E114BCAE0438}">
      <text>
        <r>
          <rPr>
            <sz val="9"/>
            <color indexed="81"/>
            <rFont val="Tahoma"/>
            <family val="2"/>
          </rPr>
          <t>Example values can be as valuable as the description to convey the contents of the column.</t>
        </r>
      </text>
    </comment>
    <comment ref="F12" authorId="0" shapeId="0" xr:uid="{E062C6BD-2C97-4679-8314-7E983D923BC6}">
      <text>
        <r>
          <rPr>
            <sz val="9"/>
            <color indexed="81"/>
            <rFont val="Tahoma"/>
            <family val="2"/>
          </rPr>
          <t>1=Restate History
2=Track History
documentation only</t>
        </r>
      </text>
    </comment>
    <comment ref="G12" authorId="0" shapeId="0" xr:uid="{7E75C327-75A9-427E-994B-C12A9B475CC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44A0B12-2258-4DF0-AF3C-6B50F3B91866}">
      <text>
        <r>
          <rPr>
            <sz val="9"/>
            <color indexed="81"/>
            <rFont val="Tahoma"/>
            <family val="2"/>
          </rPr>
          <t>During the modeling process, capture any important discussion about ETL rules or xforms.</t>
        </r>
      </text>
    </comment>
    <comment ref="I12" authorId="0" shapeId="0" xr:uid="{D03EC65F-EA93-492F-8D5F-2B3B98BE8AF4}">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1E49EAA-D725-4C3C-B6B7-CC0B38A24642}">
      <text>
        <r>
          <rPr>
            <sz val="9"/>
            <color indexed="81"/>
            <rFont val="Tahoma"/>
            <family val="2"/>
          </rPr>
          <t>Physical table name (use brackets if necessary)</t>
        </r>
      </text>
    </comment>
    <comment ref="B3" authorId="0" shapeId="0" xr:uid="{7D416FE1-FB5E-4B34-AA69-B7DE21B9A643}">
      <text>
        <r>
          <rPr>
            <sz val="9"/>
            <color indexed="81"/>
            <rFont val="Tahoma"/>
            <family val="2"/>
          </rPr>
          <t>Display or business name of the table (if this does not match the worksheet name, the links in the diagram do not work)</t>
        </r>
      </text>
    </comment>
    <comment ref="B4" authorId="0" shapeId="0" xr:uid="{B73B46BB-5941-4392-8B4D-16F998B7154F}">
      <text>
        <r>
          <rPr>
            <sz val="9"/>
            <color indexed="81"/>
            <rFont val="Tahoma"/>
            <family val="2"/>
          </rPr>
          <t>Schema name for this table (you must create the schema first - leave blank for default schema, e.g. dbo)</t>
        </r>
      </text>
    </comment>
    <comment ref="B5" authorId="0" shapeId="0" xr:uid="{FF8B5D26-3489-492E-BE62-82A12BA311E3}">
      <text>
        <r>
          <rPr>
            <sz val="9"/>
            <color indexed="81"/>
            <rFont val="Tahoma"/>
            <family val="2"/>
          </rPr>
          <t>Description of this table, oriented to the business user.</t>
        </r>
      </text>
    </comment>
    <comment ref="B6" authorId="0" shapeId="0" xr:uid="{6487737A-9F7F-4338-8F90-C6DAE9CF5FFB}">
      <text>
        <r>
          <rPr>
            <sz val="9"/>
            <color indexed="81"/>
            <rFont val="Tahoma"/>
            <family val="2"/>
          </rPr>
          <t xml:space="preserve">We often use the Comment field to insert a technical comment.
</t>
        </r>
      </text>
    </comment>
    <comment ref="B7" authorId="0" shapeId="0" xr:uid="{3926CC4E-8C71-4A48-BD66-7C1D03AD98B2}">
      <text>
        <r>
          <rPr>
            <sz val="9"/>
            <color indexed="81"/>
            <rFont val="Tahoma"/>
            <family val="2"/>
          </rPr>
          <t xml:space="preserve">If there's an important filter condition for the extract from the source, note it here. </t>
        </r>
      </text>
    </comment>
    <comment ref="B8" authorId="0" shapeId="0" xr:uid="{DC53A0FF-F37D-4A2A-BA93-BC8B5925134A}">
      <text>
        <r>
          <rPr>
            <sz val="9"/>
            <color indexed="81"/>
            <rFont val="Tahoma"/>
            <family val="2"/>
          </rPr>
          <t xml:space="preserve">It's often helpful to note the approximate size of the table -- helps people understand the contents. </t>
        </r>
      </text>
    </comment>
    <comment ref="B9" authorId="0" shapeId="0" xr:uid="{F229D29E-8025-4A92-BB26-C721F5223A42}">
      <text>
        <r>
          <rPr>
            <sz val="9"/>
            <color indexed="81"/>
            <rFont val="Tahoma"/>
            <family val="2"/>
          </rPr>
          <t>This indicator drives whether the macro will generate the script for this table.</t>
        </r>
      </text>
    </comment>
    <comment ref="J11" authorId="0" shapeId="0" xr:uid="{16EB3FF2-6831-4486-B321-015AF6D24BE0}">
      <text>
        <r>
          <rPr>
            <sz val="9"/>
            <color indexed="81"/>
            <rFont val="Tahoma"/>
            <family val="2"/>
          </rPr>
          <t>These columns drive the generate SQL macro. We usually hide them during the modeling sessions, filling them in later.</t>
        </r>
      </text>
    </comment>
    <comment ref="Q11" authorId="0" shapeId="0" xr:uid="{66B129FF-5DD9-48A6-A856-8574E127606A}">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10C5F967-3C06-4746-9DEB-AA32FB7B17D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56F02DB-AECB-4C9E-9DF1-488F11A909CC}">
      <text>
        <r>
          <rPr>
            <sz val="9"/>
            <color indexed="81"/>
            <rFont val="Tahoma"/>
            <family val="2"/>
          </rPr>
          <t>Column physical name in the table definition. We recommend that physical and logical names be the same.</t>
        </r>
      </text>
    </comment>
    <comment ref="B12" authorId="0" shapeId="0" xr:uid="{EB39A928-8997-47DE-8F70-68D20FF1DA67}">
      <text>
        <r>
          <rPr>
            <sz val="9"/>
            <color indexed="81"/>
            <rFont val="Tahoma"/>
            <family val="2"/>
          </rPr>
          <t>Column logical or view name presented to the users. We recommend that physical and logical names be the same.</t>
        </r>
      </text>
    </comment>
    <comment ref="C12" authorId="0" shapeId="0" xr:uid="{0CC18E1D-87E0-46BF-A704-B4D6D661EA3C}">
      <text>
        <r>
          <rPr>
            <sz val="9"/>
            <color indexed="81"/>
            <rFont val="Tahoma"/>
            <family val="2"/>
          </rPr>
          <t xml:space="preserve">Description for the business users. Your dimensional design is not complete until this is filled in for absolutely all columns.
</t>
        </r>
      </text>
    </comment>
    <comment ref="D12" authorId="0" shapeId="0" xr:uid="{9E2A6F22-8B14-4F30-A946-E6C23703A93C}">
      <text>
        <r>
          <rPr>
            <sz val="9"/>
            <color indexed="81"/>
            <rFont val="Tahoma"/>
            <family val="2"/>
          </rPr>
          <t xml:space="preserve">Used to populate the "Unknown member" row (surrogate key = -1) in the table.
</t>
        </r>
      </text>
    </comment>
    <comment ref="E12" authorId="0" shapeId="0" xr:uid="{4A6FF61E-A504-473D-A6A9-436719A1F829}">
      <text>
        <r>
          <rPr>
            <sz val="9"/>
            <color indexed="81"/>
            <rFont val="Tahoma"/>
            <family val="2"/>
          </rPr>
          <t>Example values can be as valuable as the description to convey the contents of the column.</t>
        </r>
      </text>
    </comment>
    <comment ref="F12" authorId="0" shapeId="0" xr:uid="{33AC49B0-DFF2-49E0-865C-2FBDBC12C9FF}">
      <text>
        <r>
          <rPr>
            <sz val="9"/>
            <color indexed="81"/>
            <rFont val="Tahoma"/>
            <family val="2"/>
          </rPr>
          <t>1=Restate History
2=Track History
documentation only</t>
        </r>
      </text>
    </comment>
    <comment ref="G12" authorId="0" shapeId="0" xr:uid="{1836A39B-AF6C-4707-8712-9168C17BD63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1AA952C-2AE1-4DA3-948C-5393C25483FF}">
      <text>
        <r>
          <rPr>
            <sz val="9"/>
            <color indexed="81"/>
            <rFont val="Tahoma"/>
            <family val="2"/>
          </rPr>
          <t>During the modeling process, capture any important discussion about ETL rules or xforms.</t>
        </r>
      </text>
    </comment>
    <comment ref="I12" authorId="0" shapeId="0" xr:uid="{1F8D3158-D2BE-4FDE-AB5B-93D9959CDFF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6F6632C-D72F-4434-91D3-5944666C30C6}">
      <text>
        <r>
          <rPr>
            <sz val="9"/>
            <color indexed="81"/>
            <rFont val="Tahoma"/>
            <family val="2"/>
          </rPr>
          <t>Physical table name (use brackets if necessary)</t>
        </r>
      </text>
    </comment>
    <comment ref="B3" authorId="0" shapeId="0" xr:uid="{20D4F00A-4E74-47CB-9E04-7A61D66D463E}">
      <text>
        <r>
          <rPr>
            <sz val="9"/>
            <color indexed="81"/>
            <rFont val="Tahoma"/>
            <family val="2"/>
          </rPr>
          <t>Display or business name of the table (if this does not match the worksheet name, the links in the diagram do not work)</t>
        </r>
      </text>
    </comment>
    <comment ref="B4" authorId="0" shapeId="0" xr:uid="{77F80727-FBCA-4E9B-AAAD-B4466644417F}">
      <text>
        <r>
          <rPr>
            <sz val="9"/>
            <color indexed="81"/>
            <rFont val="Tahoma"/>
            <family val="2"/>
          </rPr>
          <t>Schema name for this table (you must create the schema first - leave blank for default schema, e.g. dbo)</t>
        </r>
      </text>
    </comment>
    <comment ref="B5" authorId="0" shapeId="0" xr:uid="{347DAE43-0A18-4DCF-8582-0B62DEE560E5}">
      <text>
        <r>
          <rPr>
            <sz val="9"/>
            <color indexed="81"/>
            <rFont val="Tahoma"/>
            <family val="2"/>
          </rPr>
          <t>Description of this table, oriented to the business user.</t>
        </r>
      </text>
    </comment>
    <comment ref="B6" authorId="0" shapeId="0" xr:uid="{1AA3983D-D273-4FB9-919C-DA426BDB363B}">
      <text>
        <r>
          <rPr>
            <sz val="9"/>
            <color indexed="81"/>
            <rFont val="Tahoma"/>
            <family val="2"/>
          </rPr>
          <t xml:space="preserve">We often use the Comment field to insert a technical comment.
</t>
        </r>
      </text>
    </comment>
    <comment ref="B7" authorId="0" shapeId="0" xr:uid="{DCF486E8-E4CF-47CA-AD9C-DDDCFF544BA9}">
      <text>
        <r>
          <rPr>
            <sz val="9"/>
            <color indexed="81"/>
            <rFont val="Tahoma"/>
            <family val="2"/>
          </rPr>
          <t xml:space="preserve">If there's an important filter condition for the extract from the source, note it here. </t>
        </r>
      </text>
    </comment>
    <comment ref="B8" authorId="0" shapeId="0" xr:uid="{FCDC2793-ED7A-4DEA-B489-AE9311B7FB6A}">
      <text>
        <r>
          <rPr>
            <sz val="9"/>
            <color indexed="81"/>
            <rFont val="Tahoma"/>
            <family val="2"/>
          </rPr>
          <t xml:space="preserve">It's often helpful to note the approximate size of the table -- helps people understand the contents. </t>
        </r>
      </text>
    </comment>
    <comment ref="B9" authorId="0" shapeId="0" xr:uid="{76C5E5D7-2F2B-47D1-9820-E75147777C96}">
      <text>
        <r>
          <rPr>
            <sz val="9"/>
            <color indexed="81"/>
            <rFont val="Tahoma"/>
            <family val="2"/>
          </rPr>
          <t>This indicator drives whether the macro will generate the script for this table.</t>
        </r>
      </text>
    </comment>
    <comment ref="J11" authorId="0" shapeId="0" xr:uid="{B6FFDA7C-2FDD-4ABC-B2D7-2D6809E3D3CC}">
      <text>
        <r>
          <rPr>
            <sz val="9"/>
            <color indexed="81"/>
            <rFont val="Tahoma"/>
            <family val="2"/>
          </rPr>
          <t>These columns drive the generate SQL macro. We usually hide them during the modeling sessions, filling them in later.</t>
        </r>
      </text>
    </comment>
    <comment ref="Q11" authorId="0" shapeId="0" xr:uid="{2F7BF51D-EBFA-4701-BA0F-39820F2A2FC6}">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9A4CC20C-FD39-44D8-9788-012A9F43719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B4F8DBB-A580-4F8B-95EA-F0C33ED19BEC}">
      <text>
        <r>
          <rPr>
            <sz val="9"/>
            <color indexed="81"/>
            <rFont val="Tahoma"/>
            <family val="2"/>
          </rPr>
          <t>Column physical name in the table definition. We recommend that physical and logical names be the same.</t>
        </r>
      </text>
    </comment>
    <comment ref="B12" authorId="0" shapeId="0" xr:uid="{3C8939F6-3422-4175-9EC6-8C8DE5606888}">
      <text>
        <r>
          <rPr>
            <sz val="9"/>
            <color indexed="81"/>
            <rFont val="Tahoma"/>
            <family val="2"/>
          </rPr>
          <t>Column logical or view name presented to the users. We recommend that physical and logical names be the same.</t>
        </r>
      </text>
    </comment>
    <comment ref="C12" authorId="0" shapeId="0" xr:uid="{6413F42F-F94C-42D6-8561-4D94908D4728}">
      <text>
        <r>
          <rPr>
            <sz val="9"/>
            <color indexed="81"/>
            <rFont val="Tahoma"/>
            <family val="2"/>
          </rPr>
          <t xml:space="preserve">Description for the business users. Your dimensional design is not complete until this is filled in for absolutely all columns.
</t>
        </r>
      </text>
    </comment>
    <comment ref="D12" authorId="0" shapeId="0" xr:uid="{C45C8A5A-0C81-4D2C-8B99-433FFC2B4228}">
      <text>
        <r>
          <rPr>
            <sz val="9"/>
            <color indexed="81"/>
            <rFont val="Tahoma"/>
            <family val="2"/>
          </rPr>
          <t>Keep hidden - not used for fact tables</t>
        </r>
      </text>
    </comment>
    <comment ref="E12" authorId="0" shapeId="0" xr:uid="{58156B76-E187-4EE4-926E-AA45DFC5CCE5}">
      <text>
        <r>
          <rPr>
            <sz val="9"/>
            <color indexed="81"/>
            <rFont val="Tahoma"/>
            <family val="2"/>
          </rPr>
          <t>Example values can be as valuable as the description to convey the contents of the column.</t>
        </r>
      </text>
    </comment>
    <comment ref="F12" authorId="0" shapeId="0" xr:uid="{EE206DAF-6F7C-4F17-80EE-B903653C4A2C}">
      <text>
        <r>
          <rPr>
            <sz val="9"/>
            <color indexed="81"/>
            <rFont val="Tahoma"/>
            <family val="2"/>
          </rPr>
          <t>Keep hidden - not used for fact tables</t>
        </r>
      </text>
    </comment>
    <comment ref="G12" authorId="0" shapeId="0" xr:uid="{C5E30101-68D1-4250-850B-14677D222B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0FB5EDD-303D-40A9-9CCF-75D4EE5359A3}">
      <text>
        <r>
          <rPr>
            <sz val="9"/>
            <color indexed="81"/>
            <rFont val="Tahoma"/>
            <family val="2"/>
          </rPr>
          <t>During the modeling process, capture any important discussion about ETL rules or xforms.</t>
        </r>
      </text>
    </comment>
    <comment ref="I12" authorId="0" shapeId="0" xr:uid="{39FA73CC-B9A4-42B7-BA26-D58404D47869}">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<sst xmlns="http://schemas.openxmlformats.org/spreadsheetml/2006/main" count="829" uniqueCount="355">
  <si>
    <t>Added the bubble diagram generator</t>
  </si>
  <si>
    <t>JM</t>
  </si>
  <si>
    <t>Fixed FK generation error</t>
  </si>
  <si>
    <t>Person</t>
  </si>
  <si>
    <t>Unknown Member</t>
  </si>
  <si>
    <t>N/A</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</si>
  <si>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</si>
  <si>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</si>
  <si>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</si>
  <si>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</si>
  <si>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</si>
  <si>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</si>
  <si>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</si>
  <si>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</si>
  <si>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</si>
  <si>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</si>
  <si>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</si>
  <si>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</si>
  <si>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</si>
  <si>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</si>
  <si>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</si>
  <si>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</si>
  <si>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</si>
  <si>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</si>
  <si>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</si>
  <si>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</si>
  <si>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</si>
  <si>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</si>
  <si>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</si>
  <si>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</si>
  <si>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</si>
  <si>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</si>
  <si>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</si>
  <si>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</si>
  <si>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</si>
  <si>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</si>
  <si>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</si>
  <si>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</si>
  <si>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</si>
  <si>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</si>
  <si>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</si>
  <si>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</si>
  <si>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</si>
  <si>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</si>
  <si>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</si>
  <si>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</si>
  <si>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</si>
  <si>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</si>
  <si>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</si>
  <si>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</si>
  <si>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</si>
  <si>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</si>
  <si>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</si>
  <si>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</si>
  <si>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</si>
  <si>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</si>
  <si>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</si>
  <si>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</si>
  <si>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</si>
  <si>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</si>
  <si>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</si>
  <si>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</si>
  <si>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</si>
  <si>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</si>
  <si>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</si>
  <si>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</si>
  <si>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</si>
  <si>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</si>
  <si>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</si>
  <si>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</si>
  <si>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</si>
  <si>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</si>
  <si>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</si>
  <si>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</si>
  <si>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</si>
  <si>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</si>
  <si>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</si>
  <si>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</si>
  <si>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</si>
  <si>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</si>
  <si>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</si>
  <si>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</si>
  <si>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</si>
  <si>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</si>
  <si>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</si>
  <si>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</si>
  <si>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</si>
  <si>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</si>
  <si>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</si>
  <si>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</si>
  <si>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</si>
  <si>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</si>
  <si>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</si>
  <si>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</si>
  <si>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</si>
  <si>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</si>
  <si>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</si>
  <si>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</si>
  <si>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</si>
  <si>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</si>
  <si>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</si>
  <si>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</si>
  <si>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</si>
  <si>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</si>
  <si>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</si>
  <si>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</si>
  <si>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</si>
  <si>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</si>
  <si>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</si>
  <si>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</si>
  <si>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</si>
  <si>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</si>
  <si>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</si>
  <si>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</si>
  <si>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</si>
  <si>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</si>
  <si>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</si>
  <si>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</si>
  <si>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</si>
  <si>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</si>
  <si>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</si>
  <si>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</si>
  <si>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</si>
  <si>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</si>
  <si>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</si>
  <si>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</si>
  <si>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</si>
  <si>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</si>
  <si>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</si>
  <si>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</si>
  <si>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</si>
  <si>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</si>
  <si>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</si>
  <si>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</si>
  <si>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</si>
  <si>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</si>
  <si>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</si>
  <si>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</si>
  <si>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</si>
  <si>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</si>
  <si>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</si>
  <si>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</si>
  <si>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</si>
  <si>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</si>
  <si>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</si>
  <si>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</si>
  <si>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</si>
  <si>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</si>
  <si>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</si>
  <si>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</si>
  <si>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</si>
  <si>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</si>
  <si>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ist722_aarnett_dw</t>
  </si>
  <si>
    <t>The Northwind Traders Data Warehouse</t>
  </si>
  <si>
    <t>Customer dimension</t>
  </si>
  <si>
    <t>one row for ea customer</t>
  </si>
  <si>
    <t>CustomerKey</t>
  </si>
  <si>
    <t>CustomerID</t>
  </si>
  <si>
    <t>Surrgote primary key</t>
  </si>
  <si>
    <t>Business key from source system (natrual key)</t>
  </si>
  <si>
    <t>1,2,3…</t>
  </si>
  <si>
    <t>NA</t>
  </si>
  <si>
    <t>dbo</t>
  </si>
  <si>
    <t>Aurelia Arnett</t>
  </si>
  <si>
    <t>aarnett</t>
  </si>
  <si>
    <t>ProductKey</t>
  </si>
  <si>
    <t>The name of the product</t>
  </si>
  <si>
    <t>Product dimension</t>
  </si>
  <si>
    <t>one row for ea product</t>
  </si>
  <si>
    <t>Key lookup from DimDate.DateKey</t>
  </si>
  <si>
    <t>DimProduct.ProductKey</t>
  </si>
  <si>
    <t>DimDate.DateKey</t>
  </si>
  <si>
    <t>FK, PK</t>
  </si>
  <si>
    <t>fm_products</t>
  </si>
  <si>
    <t>?</t>
  </si>
  <si>
    <t>DimCustomer.CustomerKey</t>
  </si>
  <si>
    <t>fudgemart_v3</t>
  </si>
  <si>
    <t>fm_customers</t>
  </si>
  <si>
    <t>ff_plans</t>
  </si>
  <si>
    <t>fudgeflix_v3</t>
  </si>
  <si>
    <t>ff_accounts</t>
  </si>
  <si>
    <t>Key lookup from fm_products.productkey</t>
  </si>
  <si>
    <t>Key lookup from fm_customers.customerkey</t>
  </si>
  <si>
    <t>sourced from fudgemart_v3</t>
  </si>
  <si>
    <t>Key to Customer (account)</t>
  </si>
  <si>
    <t>Key to Product (plan)</t>
  </si>
  <si>
    <t>product_id</t>
  </si>
  <si>
    <t>product_name</t>
  </si>
  <si>
    <t>product_department</t>
  </si>
  <si>
    <t>DimProductMart</t>
  </si>
  <si>
    <t>Zip code for customer</t>
  </si>
  <si>
    <t>Customer email</t>
  </si>
  <si>
    <t>Customer first name</t>
  </si>
  <si>
    <t>Customer last name</t>
  </si>
  <si>
    <t>lkarforless@superrito.com</t>
  </si>
  <si>
    <t>Lisa</t>
  </si>
  <si>
    <t>Karforless</t>
  </si>
  <si>
    <t>customer_email</t>
  </si>
  <si>
    <t>customer_firstname</t>
  </si>
  <si>
    <t>customer_lastname</t>
  </si>
  <si>
    <t>customer_zipcode</t>
  </si>
  <si>
    <t>fudge</t>
  </si>
  <si>
    <t>title_id</t>
  </si>
  <si>
    <t>title_name</t>
  </si>
  <si>
    <t>title_type</t>
  </si>
  <si>
    <t>AccountKey</t>
  </si>
  <si>
    <t>ff_titles</t>
  </si>
  <si>
    <t>one row per title ordered</t>
  </si>
  <si>
    <t>Key to Title (product)</t>
  </si>
  <si>
    <t>name of title</t>
  </si>
  <si>
    <t>rating customer gives title</t>
  </si>
  <si>
    <t>ff_account_titles</t>
  </si>
  <si>
    <t>at_rating</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</si>
  <si>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</si>
  <si>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</si>
  <si>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</si>
  <si>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</si>
  <si>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</si>
  <si>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</si>
  <si>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</si>
  <si>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</si>
  <si>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</si>
  <si>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</si>
  <si>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</si>
  <si>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</si>
  <si>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</si>
  <si>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</si>
  <si>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</si>
  <si>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</si>
  <si>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</si>
  <si>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[DateKey]  int   NOT NULL</t>
  </si>
  <si>
    <t>,  [FullDateUSA]  nchar(11)   NOT NULL</t>
  </si>
  <si>
    <t>,  [DayOfWeek]  tinyint   NOT NULL</t>
  </si>
  <si>
    <t>,  [DayName]  nchar(10)   NOT NULL</t>
  </si>
  <si>
    <t>,  [DayOfMonth]  tinyint   NOT NULL</t>
  </si>
  <si>
    <t>,  [WeekOfYear]  tinyint   NOT NULL</t>
  </si>
  <si>
    <t>,  [MonthName]  nchar(10)   NOT NULL</t>
  </si>
  <si>
    <t>,  [MonthOfYear]  tinyint   NOT NULL</t>
  </si>
  <si>
    <t>,  [Quarter]  tinyint   NOT NULL</t>
  </si>
  <si>
    <t>,  [QuarterName]  nchar(10)   NOT NULL</t>
  </si>
  <si>
    <t>( [DateKey] )</t>
  </si>
  <si>
    <t>) ON [PRIMARY]</t>
  </si>
  <si>
    <t>VALUES (-1, '', 'Unk date', 0, 'Unk date', 0, 0, 0, 'Unk month', 0, 0, 'Unk qtr', 0, 0)</t>
  </si>
  <si>
    <t>,  [RowEndDate]  datetime  DEFAULT '12/31/9999' NOT NULL</t>
  </si>
  <si>
    <t xml:space="preserve">   [ProductKey]  int   NOT NULL</t>
  </si>
  <si>
    <t xml:space="preserve">   (</t>
  </si>
  <si>
    <t xml:space="preserve">   ProductKey</t>
  </si>
  <si>
    <t xml:space="preserve">   ( ProductKey )</t>
  </si>
  <si>
    <t xml:space="preserve">     ON UPDATE  NO ACTION</t>
  </si>
  <si>
    <t xml:space="preserve">     ON DELETE  NO ACTION</t>
  </si>
  <si>
    <t xml:space="preserve">   ( DateKey )</t>
  </si>
  <si>
    <t>Genre of product (dept/type)</t>
  </si>
  <si>
    <t>FactPopularityFudgemart</t>
  </si>
  <si>
    <t>PopularityFudgemart</t>
  </si>
  <si>
    <t>Key lookup from fm_product.productkey</t>
  </si>
  <si>
    <t>fm_customer_product_reviews</t>
  </si>
  <si>
    <t>review_stars</t>
  </si>
  <si>
    <t xml:space="preserve">   [ProductKey]  int IDENTITY  NOT NULL</t>
  </si>
  <si>
    <t>( [ProductKey] )</t>
  </si>
  <si>
    <t xml:space="preserve">   [CustomerKey]  int IDENTITY  NOT NULL</t>
  </si>
  <si>
    <t>( [CustomerKey] )</t>
  </si>
  <si>
    <t>,  [CustomerKey]  int   NOT NULL</t>
  </si>
  <si>
    <t xml:space="preserve">   CustomerKey</t>
  </si>
  <si>
    <t xml:space="preserve">   ( CustomerKey )</t>
  </si>
  <si>
    <t>-- Create a schema to hold user views (set schema name on home page of workbook).</t>
  </si>
  <si>
    <t>-- It would be good to do this only if the schema doesn't exist already.</t>
  </si>
  <si>
    <t>CREATE SCHEMA fudge</t>
  </si>
  <si>
    <t>,  [RowIsCurrent]  bit  DEFAULT 1 NOT NULL</t>
  </si>
  <si>
    <t>,  [RowChangeReason]  nvarchar(200)   NULL</t>
  </si>
  <si>
    <t>title type (move or show)</t>
  </si>
  <si>
    <t>DROP DATABASE ist722_hhkhan_ob3_dw</t>
  </si>
  <si>
    <t>CREATE DATABASE ist722_hhkhan_ob3_dw</t>
  </si>
  <si>
    <t>ALTER DATABASE ist722_hhkhan_ob3_dw</t>
  </si>
  <si>
    <t>USE ist722_hhkhan_ob3_dw</t>
  </si>
  <si>
    <t>/****** Object:  Database ist722_hhkhan_ob3_dw    Script Date: 3/13/2021 4:01:56 PM ******/</t>
  </si>
  <si>
    <t>,  [RowStartDate]  datetime  DEFAULT '12/31/1899' NOT NULL</t>
  </si>
  <si>
    <t>,  [CustomerID]  int  NOT NULL</t>
  </si>
  <si>
    <t>,  [customer_firstname]  varchar(50)   NOT NULL</t>
  </si>
  <si>
    <t>,  [customer_lastname]  varchar(50)   NOT NULL</t>
  </si>
  <si>
    <t>,  [customer_zipcode]  varchar(20)   NOT NULL</t>
  </si>
  <si>
    <t>,  [RowChangeReason]  nvarchar(200)    NULL</t>
  </si>
  <si>
    <t>,  [DayOfYear]  int   NOT NULL</t>
  </si>
  <si>
    <t>,  [IsWeekday]  varchar(1)  DEFAULT 0 NOT NULL</t>
  </si>
  <si>
    <t>,  [Date]  datetime   NULL</t>
  </si>
  <si>
    <t>,  [Year]  int   NOT NULL</t>
  </si>
  <si>
    <t>VALUES (-1, -1, 'None', 'None', 'None', 'None', 1, '12/31/1899', '12/31/9999', 'N/A')</t>
  </si>
  <si>
    <t>customer_rating</t>
  </si>
  <si>
    <t>product_type</t>
  </si>
  <si>
    <t>origin_database</t>
  </si>
  <si>
    <t>database the data comes from</t>
  </si>
  <si>
    <t>derived</t>
  </si>
  <si>
    <t>/* Drop table fudge.DimDate */</t>
  </si>
  <si>
    <t>IF EXISTS (SELECT * FROM dbo.sysobjects WHERE id = OBJECT_ID(N'fudge.DimDate') AND OBJECTPROPERTY(id, N'IsUserTable') = 1)</t>
  </si>
  <si>
    <t>/* Create table fudge.DimDate */</t>
  </si>
  <si>
    <t>CREATE TABLE fudge.DimDate (</t>
  </si>
  <si>
    <t xml:space="preserve">, CONSTRAINT [PK_fudge.DimDate] PRIMARY KEY CLUSTERED </t>
  </si>
  <si>
    <t>/* Drop table fudge.FactPopularity */</t>
  </si>
  <si>
    <t>IF EXISTS (SELECT * FROM dbo.sysobjects WHERE id = OBJECT_ID(N'fudge.FactPopularity') AND OBJECTPROPERTY(id, N'IsUserTable') = 1)</t>
  </si>
  <si>
    <t xml:space="preserve">DROP TABLE fudge.FactPopularity </t>
  </si>
  <si>
    <t>/* Create table fudge.FactPopularity */</t>
  </si>
  <si>
    <t>CREATE TABLE fudge.FactPopularity (</t>
  </si>
  <si>
    <t xml:space="preserve">, CONSTRAINT [PK_fudge.FactPopularity] PRIMARY KEY NONCLUSTERED </t>
  </si>
  <si>
    <t>ALTER TABLE fudge.FactPopularity ADD CONSTRAINT</t>
  </si>
  <si>
    <t xml:space="preserve">   FK_fudge_FactPopularity_CustomerKey FOREIGN KEY</t>
  </si>
  <si>
    <t xml:space="preserve">   FK_fudge_FactPopularity_ProductKey FOREIGN KEY</t>
  </si>
  <si>
    <t xml:space="preserve">   FK_fudge_FactPopularity_OrderDateKey FOREIGN KEY</t>
  </si>
  <si>
    <t>DROP TABLE fudge.DimDate</t>
  </si>
  <si>
    <t>INSERT INTO fudge.dimdate (DateKey, Date, FullDateUSA, DayOfWeek, DayName, DayOfMonth, DayOfYear, WeekOfYear, MonthName, MonthOfYear, Quarter, QuarterName, Year, IsWeekday)</t>
  </si>
  <si>
    <t>/* Drop table fudge.DimProduct */</t>
  </si>
  <si>
    <t>IF EXISTS (SELECT * FROM dbo.sysobjects WHERE id = OBJECT_ID(N'fudge.DimProduct') AND OBJECTPROPERTY(id, N'IsUserTable') = 1)</t>
  </si>
  <si>
    <t xml:space="preserve">DROP TABLE fudge.DimProduct </t>
  </si>
  <si>
    <t>/* Create table fudge.DimProduct */</t>
  </si>
  <si>
    <t>CREATE TABLE fudge.DimProduct (</t>
  </si>
  <si>
    <t>,  [product_id]  varchar(20)   NOT NULL</t>
  </si>
  <si>
    <t>,  [product_name]  varchar(200)   NOT NULL</t>
  </si>
  <si>
    <t>,  [product_type]  varchar(221)   NOT NULL</t>
  </si>
  <si>
    <t xml:space="preserve">, CONSTRAINT [PK_fudge.DimProduct] PRIMARY KEY CLUSTERED </t>
  </si>
  <si>
    <t>SET IDENTITY_INSERT fudge.DimProduct ON</t>
  </si>
  <si>
    <t>INSERT INTO fudge.DimProduct (ProductKey, product_id, product_name, product_type, RowIsCurrent, RowStartDate, RowEndDate, RowChangeReason)</t>
  </si>
  <si>
    <t>VALUES (-1, '0', 'None', 'None', 1, '12/31/1899', '12/31/9999', 'N/A')</t>
  </si>
  <si>
    <t>SET IDENTITY_INSERT fudge.DimProduct OFF</t>
  </si>
  <si>
    <t>/* Drop table fudge.DimCustomer */</t>
  </si>
  <si>
    <t>IF EXISTS (SELECT * FROM dbo.sysobjects WHERE id = OBJECT_ID(N'fudge.DimCustomer') AND OBJECTPROPERTY(id, N'IsUserTable') = 1)</t>
  </si>
  <si>
    <t xml:space="preserve">DROP TABLE fudge.DimCustomer </t>
  </si>
  <si>
    <t>/* Create table fudge.DimCustomer */</t>
  </si>
  <si>
    <t>CREATE TABLE fudge.DimCustomer (</t>
  </si>
  <si>
    <t>,  [customer_email]  varchar(200)   NOT NULL</t>
  </si>
  <si>
    <t xml:space="preserve">, CONSTRAINT [PK_fudge.DimCustomer] PRIMARY KEY CLUSTERED </t>
  </si>
  <si>
    <t>SET IDENTITY_INSERT fudge.DimCustomer ON</t>
  </si>
  <si>
    <t>INSERT INTO fudge.DimCustomer (CustomerKey, CustomerID, customer_email, customer_firstname, customer_lastname,customer_zipcode, RowIsCurrent, RowStartDate, RowEndDate, RowChangeReason)</t>
  </si>
  <si>
    <t>SET IDENTITY_INSERT fudge.DimCustomer OFF</t>
  </si>
  <si>
    <t>,  [ReviewDateKey]  int   NOT NULL</t>
  </si>
  <si>
    <t>,  [customer_rating]  int   NULL</t>
  </si>
  <si>
    <t>,  [product_type]  varchar(221) NOT NULL</t>
  </si>
  <si>
    <t>,  [origin_database] nvarchar(20) NOT NULL</t>
  </si>
  <si>
    <t>([ProductKey], [CustomerKey], [ReviewDateKey], [product_type] )</t>
  </si>
  <si>
    <t xml:space="preserve">   ) REFERENCES fudge.DimCustomer</t>
  </si>
  <si>
    <t xml:space="preserve">   ) REFERENCES fudge.DimProduct</t>
  </si>
  <si>
    <t xml:space="preserve">   ReviewDateKey</t>
  </si>
  <si>
    <t xml:space="preserve">   ) REFERENCES fudge.DimDate</t>
  </si>
  <si>
    <t>DimProduct</t>
  </si>
  <si>
    <t>sourced from fudgemart_v3 and fudgeflix_v3</t>
  </si>
  <si>
    <t>ff.account_zipcode</t>
  </si>
  <si>
    <t>ff.account_lastname</t>
  </si>
  <si>
    <t>ff.account_id</t>
  </si>
  <si>
    <t>ff.account_email</t>
  </si>
  <si>
    <t>ff.account_firstname</t>
  </si>
  <si>
    <t>fm.customer_id</t>
  </si>
  <si>
    <t>fm.customer_email</t>
  </si>
  <si>
    <t>fm.customer_firstname</t>
  </si>
  <si>
    <t>fm.customer_lastname</t>
  </si>
  <si>
    <t>fm.customer_zipcode</t>
  </si>
  <si>
    <t>DimCustomer</t>
  </si>
  <si>
    <t>ReviewDateKey</t>
  </si>
  <si>
    <t>Key to Date (for date title was reviewed)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</si>
</sst>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1" fillId="0" borderId="0" xfId="0" applyFont="1" applyBorder="1" applyAlignment="1">
      <alignment horizontal="left" wrapText="1"/>
    </xf>
    <xf numFmtId="14" fontId="1" fillId="0" borderId="0" xfId="44" applyNumberFormat="1"/>
    <xf numFmtId="0" fontId="2" fillId="23" borderId="0" xfId="0" quotePrefix="1" applyFont="1" applyFill="1" applyBorder="1" applyAlignment="1">
      <alignment horizontal="left" vertical="top" wrapText="1"/>
    </xf>
    <xf numFmtId="8" fontId="0" fillId="0" borderId="0" xfId="0" applyNumberFormat="1" applyBorder="1" applyAlignment="1">
      <alignment horizontal="left" wrapText="1"/>
    </xf>
    <xf numFmtId="0" fontId="2" fillId="0" borderId="0" xfId="0" applyFont="1" applyFill="1" applyBorder="1" applyAlignment="1">
      <alignment horizontal="left" vertical="top"/>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A138DC2-5C20-462B-B8D0-95F23E25CB14}"/>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FCCCB01-043E-4D8A-A20B-91A88748342A}"/>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2F604CC-4D5E-4FB2-B125-5D411EA59D52}"/>
            </a:ext>
          </a:extLst>
        </xdr:cNvPr>
        <xdr:cNvSpPr>
          <a:spLocks noChangeArrowheads="1"/>
        </xdr:cNvSpPr>
      </xdr:nvSpPr>
      <xdr:spPr bwMode="auto">
        <a:xfrm>
          <a:off x="303530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34"/>
  <sheetViews>
    <sheetView showGridLines="0" showRowColHeaders="0" zoomScale="73" zoomScaleNormal="75" zoomScaleSheetLayoutView="75" workbookViewId="0">
      <selection activeCell="C34" sqref="C34"/>
    </sheetView>
  </sheetViews>
  <sheetFormatPr defaultColWidth="9.26953125" defaultRowHeight="12.5" x14ac:dyDescent="0.25"/>
  <cols>
    <col min="1" max="1" width="5.26953125" style="59" customWidth="1"/>
    <col min="2" max="2" width="25.54296875" style="59" customWidth="1"/>
    <col min="3" max="3" width="106.26953125" style="59" customWidth="1"/>
    <col min="4" max="8" width="9.26953125" style="59"/>
    <col min="9" max="9" width="5.7265625" style="59" customWidth="1"/>
    <col min="10" max="16384" width="9.26953125" style="59"/>
  </cols>
  <sheetData>
    <row r="1" spans="2:3" ht="18" x14ac:dyDescent="0.4">
      <c r="B1" s="58" t="s">
        <v>96</v>
      </c>
    </row>
    <row r="2" spans="2:3" ht="18" x14ac:dyDescent="0.4">
      <c r="B2" s="58" t="s">
        <v>97</v>
      </c>
    </row>
    <row r="3" spans="2:3" ht="18" x14ac:dyDescent="0.4">
      <c r="B3" s="58"/>
    </row>
    <row r="4" spans="2:3" ht="18" x14ac:dyDescent="0.4">
      <c r="B4" s="58" t="s">
        <v>44</v>
      </c>
      <c r="C4" s="60">
        <v>44239</v>
      </c>
    </row>
    <row r="5" spans="2:3" ht="18" x14ac:dyDescent="0.4">
      <c r="B5" s="58" t="s">
        <v>43</v>
      </c>
      <c r="C5" s="60" t="s">
        <v>152</v>
      </c>
    </row>
    <row r="6" spans="2:3" ht="18" x14ac:dyDescent="0.25">
      <c r="B6" s="61" t="s">
        <v>69</v>
      </c>
      <c r="C6" s="62" t="s">
        <v>153</v>
      </c>
    </row>
    <row r="7" spans="2:3" ht="18" x14ac:dyDescent="0.4">
      <c r="B7" s="58" t="s">
        <v>45</v>
      </c>
      <c r="C7" s="63">
        <v>4</v>
      </c>
    </row>
    <row r="8" spans="2:3" ht="18" x14ac:dyDescent="0.4">
      <c r="B8" s="58" t="s">
        <v>8</v>
      </c>
      <c r="C8" s="63" t="s">
        <v>47</v>
      </c>
    </row>
    <row r="9" spans="2:3" ht="18" x14ac:dyDescent="0.4">
      <c r="B9" s="58" t="s">
        <v>99</v>
      </c>
      <c r="C9" s="63"/>
    </row>
    <row r="11" spans="2:3" x14ac:dyDescent="0.25">
      <c r="C11" s="59" t="s">
        <v>62</v>
      </c>
    </row>
    <row r="12" spans="2:3" x14ac:dyDescent="0.25">
      <c r="C12" s="59" t="s">
        <v>63</v>
      </c>
    </row>
    <row r="13" spans="2:3" x14ac:dyDescent="0.25">
      <c r="C13" s="59" t="s">
        <v>64</v>
      </c>
    </row>
    <row r="14" spans="2:3" x14ac:dyDescent="0.25">
      <c r="C14" s="59" t="s">
        <v>68</v>
      </c>
    </row>
    <row r="15" spans="2:3" x14ac:dyDescent="0.25">
      <c r="C15" s="59" t="s">
        <v>65</v>
      </c>
    </row>
    <row r="16" spans="2:3" x14ac:dyDescent="0.25">
      <c r="C16" s="59" t="s">
        <v>66</v>
      </c>
    </row>
    <row r="17" spans="2:3" x14ac:dyDescent="0.25">
      <c r="C17" s="59" t="s">
        <v>67</v>
      </c>
    </row>
    <row r="28" spans="2:3" x14ac:dyDescent="0.25">
      <c r="B28" s="64" t="s">
        <v>90</v>
      </c>
    </row>
    <row r="32" spans="2:3" x14ac:dyDescent="0.25">
      <c r="B32" s="59" t="s">
        <v>163</v>
      </c>
    </row>
    <row r="33" spans="2:2" x14ac:dyDescent="0.25">
      <c r="B33" s="59" t="s">
        <v>164</v>
      </c>
    </row>
    <row r="34" spans="2:2" x14ac:dyDescent="0.25">
      <c r="B34" s="132">
        <v>44239</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A54" sqref="A54"/>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6953125" defaultRowHeight="12.5" x14ac:dyDescent="0.25"/>
  <cols>
    <col min="1" max="1" width="10.26953125" style="3" bestFit="1" customWidth="1"/>
    <col min="2" max="2" width="11.7265625" style="3" customWidth="1"/>
    <col min="3" max="3" width="11.54296875" style="3" customWidth="1"/>
    <col min="4" max="4" width="9.453125" style="3" customWidth="1"/>
    <col min="5" max="5" width="78.7265625" style="12" customWidth="1"/>
    <col min="6" max="16384" width="9.26953125" style="3"/>
  </cols>
  <sheetData>
    <row r="1" spans="1:5" ht="13.5" thickBot="1" x14ac:dyDescent="0.3">
      <c r="A1" s="68" t="s">
        <v>7</v>
      </c>
      <c r="B1" s="68" t="s">
        <v>56</v>
      </c>
      <c r="C1" s="68" t="s">
        <v>84</v>
      </c>
      <c r="D1" s="68" t="s">
        <v>3</v>
      </c>
      <c r="E1" s="69" t="s">
        <v>20</v>
      </c>
    </row>
    <row r="2" spans="1:5" ht="25.5" thickTop="1" x14ac:dyDescent="0.25">
      <c r="A2" s="16">
        <v>40581</v>
      </c>
      <c r="B2" s="17">
        <v>16</v>
      </c>
      <c r="C2" s="71">
        <v>4</v>
      </c>
      <c r="D2" s="74" t="s">
        <v>1</v>
      </c>
      <c r="E2" s="70" t="s">
        <v>100</v>
      </c>
    </row>
    <row r="3" spans="1:5" ht="25" x14ac:dyDescent="0.25">
      <c r="A3" s="16">
        <v>39860</v>
      </c>
      <c r="B3" s="17">
        <v>15</v>
      </c>
      <c r="C3" s="71">
        <v>3.4</v>
      </c>
      <c r="D3" s="17" t="s">
        <v>1</v>
      </c>
      <c r="E3" s="18" t="s">
        <v>89</v>
      </c>
    </row>
    <row r="4" spans="1:5" ht="25" x14ac:dyDescent="0.25">
      <c r="A4" s="15">
        <v>39828</v>
      </c>
      <c r="B4" s="13">
        <v>14</v>
      </c>
      <c r="C4" s="72">
        <v>3.4</v>
      </c>
      <c r="D4" s="13" t="s">
        <v>1</v>
      </c>
      <c r="E4" s="21" t="s">
        <v>86</v>
      </c>
    </row>
    <row r="5" spans="1:5" x14ac:dyDescent="0.25">
      <c r="A5" s="15">
        <v>39610</v>
      </c>
      <c r="B5" s="13">
        <v>13</v>
      </c>
      <c r="C5" s="72">
        <v>3.3</v>
      </c>
      <c r="D5" s="13" t="s">
        <v>57</v>
      </c>
      <c r="E5" s="14" t="s">
        <v>83</v>
      </c>
    </row>
    <row r="6" spans="1:5" ht="25" x14ac:dyDescent="0.25">
      <c r="A6" s="15">
        <v>39588</v>
      </c>
      <c r="B6" s="13">
        <v>12</v>
      </c>
      <c r="C6" s="72">
        <v>3.3</v>
      </c>
      <c r="D6" s="13" t="s">
        <v>57</v>
      </c>
      <c r="E6" s="14" t="s">
        <v>85</v>
      </c>
    </row>
    <row r="7" spans="1:5" x14ac:dyDescent="0.25">
      <c r="A7" s="15">
        <v>39542</v>
      </c>
      <c r="B7" s="13">
        <v>11</v>
      </c>
      <c r="C7" s="72">
        <v>3.2</v>
      </c>
      <c r="D7" s="13" t="s">
        <v>57</v>
      </c>
      <c r="E7" s="14" t="s">
        <v>79</v>
      </c>
    </row>
    <row r="8" spans="1:5" ht="25" x14ac:dyDescent="0.25">
      <c r="A8" s="15">
        <v>39402</v>
      </c>
      <c r="B8" s="13">
        <v>10</v>
      </c>
      <c r="C8" s="72">
        <v>3.2</v>
      </c>
      <c r="D8" s="13" t="s">
        <v>57</v>
      </c>
      <c r="E8" s="14" t="s">
        <v>78</v>
      </c>
    </row>
    <row r="9" spans="1:5" ht="25" x14ac:dyDescent="0.25">
      <c r="A9" s="15">
        <v>38939</v>
      </c>
      <c r="B9" s="13">
        <v>9</v>
      </c>
      <c r="C9" s="72"/>
      <c r="D9" s="13" t="s">
        <v>57</v>
      </c>
      <c r="E9" s="14" t="s">
        <v>77</v>
      </c>
    </row>
    <row r="10" spans="1:5" x14ac:dyDescent="0.25">
      <c r="A10" s="15">
        <v>38936</v>
      </c>
      <c r="B10" s="13">
        <v>8</v>
      </c>
      <c r="C10" s="72"/>
      <c r="D10" s="13" t="s">
        <v>57</v>
      </c>
      <c r="E10" s="14" t="s">
        <v>76</v>
      </c>
    </row>
    <row r="11" spans="1:5" ht="25" x14ac:dyDescent="0.25">
      <c r="A11" s="15">
        <v>38923</v>
      </c>
      <c r="B11" s="13">
        <v>7</v>
      </c>
      <c r="C11" s="72"/>
      <c r="D11" s="13" t="s">
        <v>57</v>
      </c>
      <c r="E11" s="14" t="s">
        <v>75</v>
      </c>
    </row>
    <row r="12" spans="1:5" x14ac:dyDescent="0.25">
      <c r="A12" s="15">
        <v>38923</v>
      </c>
      <c r="B12" s="13">
        <v>6</v>
      </c>
      <c r="C12" s="72"/>
      <c r="D12" s="13" t="s">
        <v>57</v>
      </c>
      <c r="E12" s="14" t="s">
        <v>74</v>
      </c>
    </row>
    <row r="13" spans="1:5" ht="18.75" customHeight="1" x14ac:dyDescent="0.25">
      <c r="A13" s="15">
        <v>38911</v>
      </c>
      <c r="B13" s="13">
        <v>5</v>
      </c>
      <c r="C13" s="72"/>
      <c r="D13" s="13" t="s">
        <v>57</v>
      </c>
      <c r="E13" s="14" t="s">
        <v>0</v>
      </c>
    </row>
    <row r="14" spans="1:5" x14ac:dyDescent="0.25">
      <c r="A14" s="15">
        <v>38855</v>
      </c>
      <c r="B14" s="13">
        <v>4</v>
      </c>
      <c r="C14" s="72"/>
      <c r="D14" s="13" t="s">
        <v>1</v>
      </c>
      <c r="E14" s="14" t="s">
        <v>60</v>
      </c>
    </row>
    <row r="15" spans="1:5" x14ac:dyDescent="0.25">
      <c r="A15" s="15">
        <v>38728</v>
      </c>
      <c r="B15" s="13">
        <v>3</v>
      </c>
      <c r="C15" s="72"/>
      <c r="D15" s="13" t="s">
        <v>1</v>
      </c>
      <c r="E15" s="14" t="s">
        <v>2</v>
      </c>
    </row>
    <row r="16" spans="1:5" x14ac:dyDescent="0.25">
      <c r="A16" s="15">
        <v>38594</v>
      </c>
      <c r="B16" s="13">
        <v>2</v>
      </c>
      <c r="C16" s="72"/>
      <c r="D16" s="13" t="s">
        <v>57</v>
      </c>
      <c r="E16" s="14" t="s">
        <v>59</v>
      </c>
    </row>
    <row r="17" spans="1:5" x14ac:dyDescent="0.25">
      <c r="A17" s="65">
        <v>38594</v>
      </c>
      <c r="B17" s="66">
        <v>1</v>
      </c>
      <c r="C17" s="73"/>
      <c r="D17" s="66" t="s">
        <v>57</v>
      </c>
      <c r="E17" s="67" t="s">
        <v>58</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I13" activePane="bottomRight" state="frozenSplit"/>
      <selection activeCell="C49" sqref="C49"/>
      <selection pane="topRight" activeCell="C49" sqref="C49"/>
      <selection pane="bottomLeft" activeCell="C49" sqref="C49"/>
      <selection pane="bottomRight" activeCell="I10" sqref="I10"/>
    </sheetView>
  </sheetViews>
  <sheetFormatPr defaultColWidth="9.26953125" defaultRowHeight="12.5" x14ac:dyDescent="0.25"/>
  <cols>
    <col min="1" max="1" width="20.453125" style="96" customWidth="1"/>
    <col min="2" max="2" width="18.54296875" style="96" customWidth="1"/>
    <col min="3" max="3" width="32.54296875" style="96" customWidth="1"/>
    <col min="4" max="4" width="8.7265625" style="96" bestFit="1" customWidth="1"/>
    <col min="5" max="5" width="18.7265625" style="97" bestFit="1" customWidth="1"/>
    <col min="6" max="6" width="4.453125" style="97" customWidth="1"/>
    <col min="7" max="7" width="14" style="96" bestFit="1" customWidth="1"/>
    <col min="8" max="8" width="31.54296875" style="96" customWidth="1"/>
    <col min="9" max="9" width="37" style="96" customWidth="1"/>
    <col min="10" max="10" width="9.453125" style="96" customWidth="1"/>
    <col min="11" max="11" width="6.26953125" style="96" customWidth="1"/>
    <col min="12" max="12" width="7.26953125" style="96" customWidth="1"/>
    <col min="13" max="13" width="4.54296875" style="96" bestFit="1" customWidth="1"/>
    <col min="14" max="14" width="13.7265625" style="96" bestFit="1" customWidth="1"/>
    <col min="15" max="15" width="5.7265625" style="96" customWidth="1"/>
    <col min="16" max="16" width="10.54296875" style="96" customWidth="1"/>
    <col min="17" max="17" width="6.26953125" style="96" bestFit="1" customWidth="1"/>
    <col min="18" max="18" width="12" style="96" bestFit="1" customWidth="1"/>
    <col min="19" max="19" width="13.7265625" style="96" bestFit="1" customWidth="1"/>
    <col min="20" max="20" width="14.7265625" style="96" bestFit="1" customWidth="1"/>
    <col min="21" max="21" width="10.26953125" style="96" customWidth="1"/>
    <col min="22" max="16384" width="9.26953125" style="96"/>
  </cols>
  <sheetData>
    <row r="1" spans="1:21" s="89" customFormat="1" ht="17.5" x14ac:dyDescent="0.35">
      <c r="A1" s="86" t="s">
        <v>12</v>
      </c>
      <c r="B1" s="87" t="s">
        <v>102</v>
      </c>
      <c r="C1" s="88"/>
      <c r="E1" s="90"/>
      <c r="F1" s="90"/>
      <c r="G1" s="88"/>
    </row>
    <row r="2" spans="1:21" s="88" customFormat="1" x14ac:dyDescent="0.25">
      <c r="A2" s="91" t="s">
        <v>10</v>
      </c>
      <c r="B2" s="92" t="s">
        <v>11</v>
      </c>
      <c r="E2" s="93"/>
      <c r="F2" s="93"/>
    </row>
    <row r="3" spans="1:21" x14ac:dyDescent="0.25">
      <c r="A3" s="94" t="s">
        <v>61</v>
      </c>
      <c r="B3" s="95" t="s">
        <v>7</v>
      </c>
    </row>
    <row r="4" spans="1:21" x14ac:dyDescent="0.25">
      <c r="A4" s="94" t="s">
        <v>80</v>
      </c>
      <c r="B4" s="96" t="s">
        <v>201</v>
      </c>
    </row>
    <row r="5" spans="1:21" s="88" customFormat="1" x14ac:dyDescent="0.25">
      <c r="A5" s="91" t="s">
        <v>81</v>
      </c>
      <c r="B5" s="96" t="s">
        <v>151</v>
      </c>
      <c r="E5" s="93"/>
      <c r="F5" s="93"/>
      <c r="H5" s="96"/>
    </row>
    <row r="6" spans="1:21" s="88" customFormat="1" x14ac:dyDescent="0.25">
      <c r="A6" s="91" t="s">
        <v>92</v>
      </c>
      <c r="B6" s="98" t="s">
        <v>103</v>
      </c>
      <c r="E6" s="93"/>
      <c r="F6" s="93"/>
    </row>
    <row r="7" spans="1:21" s="88" customFormat="1" x14ac:dyDescent="0.25">
      <c r="A7" s="99" t="s">
        <v>93</v>
      </c>
      <c r="B7" s="96"/>
      <c r="E7" s="93"/>
      <c r="F7" s="93"/>
    </row>
    <row r="8" spans="1:21" s="88" customFormat="1" x14ac:dyDescent="0.25">
      <c r="A8" s="99" t="s">
        <v>19</v>
      </c>
      <c r="B8" s="95" t="s">
        <v>104</v>
      </c>
      <c r="E8" s="93"/>
      <c r="F8" s="93"/>
    </row>
    <row r="9" spans="1:21" s="88" customFormat="1" x14ac:dyDescent="0.25">
      <c r="A9" s="91" t="s">
        <v>82</v>
      </c>
      <c r="B9" s="100" t="s">
        <v>47</v>
      </c>
      <c r="C9" s="100"/>
      <c r="E9" s="93"/>
      <c r="F9" s="93"/>
      <c r="G9" s="100"/>
    </row>
    <row r="11" spans="1:21" s="105" customFormat="1" ht="13.5" customHeight="1" x14ac:dyDescent="0.25">
      <c r="A11" s="101"/>
      <c r="B11" s="101"/>
      <c r="C11" s="101"/>
      <c r="D11" s="101"/>
      <c r="E11" s="102"/>
      <c r="F11" s="102"/>
      <c r="G11" s="101"/>
      <c r="H11" s="103"/>
      <c r="I11" s="104"/>
      <c r="J11" s="136" t="s">
        <v>22</v>
      </c>
      <c r="K11" s="137"/>
      <c r="L11" s="137"/>
      <c r="M11" s="137"/>
      <c r="N11" s="137"/>
      <c r="O11" s="137"/>
      <c r="P11" s="138"/>
      <c r="Q11" s="139" t="s">
        <v>23</v>
      </c>
      <c r="R11" s="140"/>
      <c r="S11" s="140"/>
      <c r="T11" s="140"/>
      <c r="U11" s="141"/>
    </row>
    <row r="12" spans="1:21" s="105" customFormat="1" ht="22.5" customHeight="1" x14ac:dyDescent="0.25">
      <c r="A12" s="102" t="s">
        <v>13</v>
      </c>
      <c r="B12" s="102" t="s">
        <v>61</v>
      </c>
      <c r="C12" s="102" t="s">
        <v>20</v>
      </c>
      <c r="D12" s="102" t="s">
        <v>4</v>
      </c>
      <c r="E12" s="102" t="s">
        <v>24</v>
      </c>
      <c r="F12" s="102" t="s">
        <v>31</v>
      </c>
      <c r="G12" s="102" t="s">
        <v>91</v>
      </c>
      <c r="H12" s="102" t="s">
        <v>46</v>
      </c>
      <c r="I12" s="102" t="s">
        <v>27</v>
      </c>
      <c r="J12" s="106" t="s">
        <v>25</v>
      </c>
      <c r="K12" s="101" t="s">
        <v>19</v>
      </c>
      <c r="L12" s="101" t="s">
        <v>26</v>
      </c>
      <c r="M12" s="101" t="s">
        <v>14</v>
      </c>
      <c r="N12" s="101" t="s">
        <v>28</v>
      </c>
      <c r="O12" s="101" t="s">
        <v>15</v>
      </c>
      <c r="P12" s="107" t="s">
        <v>29</v>
      </c>
      <c r="Q12" s="108" t="s">
        <v>48</v>
      </c>
      <c r="R12" s="101" t="s">
        <v>49</v>
      </c>
      <c r="S12" s="101" t="s">
        <v>50</v>
      </c>
      <c r="T12" s="101" t="s">
        <v>51</v>
      </c>
      <c r="U12" s="107" t="s">
        <v>42</v>
      </c>
    </row>
    <row r="13" spans="1:21" s="123" customFormat="1" ht="10" x14ac:dyDescent="0.25">
      <c r="A13" s="122" t="s">
        <v>105</v>
      </c>
      <c r="B13" s="122" t="s">
        <v>105</v>
      </c>
      <c r="C13" s="122" t="s">
        <v>30</v>
      </c>
      <c r="D13" s="123">
        <v>-1</v>
      </c>
      <c r="E13" s="122">
        <v>20041123</v>
      </c>
      <c r="F13" s="122"/>
      <c r="G13" s="122"/>
      <c r="H13" s="123" t="s">
        <v>106</v>
      </c>
      <c r="I13" s="122"/>
      <c r="J13" s="124" t="s">
        <v>16</v>
      </c>
      <c r="K13" s="125"/>
      <c r="L13" s="125"/>
      <c r="M13" s="125" t="s">
        <v>107</v>
      </c>
      <c r="N13" s="125"/>
      <c r="O13" s="125" t="s">
        <v>17</v>
      </c>
      <c r="P13" s="126"/>
      <c r="Q13" s="127" t="s">
        <v>33</v>
      </c>
      <c r="R13" s="128"/>
      <c r="S13" s="125"/>
      <c r="T13" s="128"/>
      <c r="U13" s="129"/>
    </row>
    <row r="14" spans="1:21" s="110" customFormat="1" ht="10" x14ac:dyDescent="0.25">
      <c r="A14" s="109" t="s">
        <v>7</v>
      </c>
      <c r="B14" s="109" t="s">
        <v>7</v>
      </c>
      <c r="C14" s="109" t="s">
        <v>108</v>
      </c>
      <c r="E14" s="109">
        <v>38314</v>
      </c>
      <c r="F14" s="109"/>
      <c r="G14" s="109" t="s">
        <v>109</v>
      </c>
      <c r="I14" s="109"/>
      <c r="J14" s="111" t="s">
        <v>110</v>
      </c>
      <c r="K14" s="112"/>
      <c r="L14" s="112"/>
      <c r="M14" s="112"/>
      <c r="N14" s="112"/>
      <c r="O14" s="112" t="s">
        <v>47</v>
      </c>
      <c r="P14" s="113"/>
      <c r="Q14" s="114" t="s">
        <v>33</v>
      </c>
      <c r="R14" s="115"/>
      <c r="S14" s="112"/>
      <c r="T14" s="115"/>
      <c r="U14" s="116"/>
    </row>
    <row r="15" spans="1:21" s="110" customFormat="1" ht="10" x14ac:dyDescent="0.25">
      <c r="A15" s="110" t="s">
        <v>111</v>
      </c>
      <c r="B15" s="110" t="s">
        <v>111</v>
      </c>
      <c r="C15" s="109" t="s">
        <v>112</v>
      </c>
      <c r="D15" s="110" t="s">
        <v>113</v>
      </c>
      <c r="E15" s="109" t="s">
        <v>114</v>
      </c>
      <c r="F15" s="109">
        <v>1</v>
      </c>
      <c r="G15" s="109" t="s">
        <v>109</v>
      </c>
      <c r="H15" s="109"/>
      <c r="I15" s="109"/>
      <c r="J15" s="111" t="s">
        <v>88</v>
      </c>
      <c r="K15" s="112">
        <v>11</v>
      </c>
      <c r="L15" s="112"/>
      <c r="M15" s="112"/>
      <c r="N15" s="112"/>
      <c r="O15" s="112" t="s">
        <v>17</v>
      </c>
      <c r="P15" s="113"/>
      <c r="Q15" s="114" t="s">
        <v>33</v>
      </c>
      <c r="R15" s="115"/>
      <c r="S15" s="112"/>
      <c r="T15" s="112"/>
      <c r="U15" s="113"/>
    </row>
    <row r="16" spans="1:21" s="110" customFormat="1" ht="10" x14ac:dyDescent="0.25">
      <c r="A16" s="109" t="s">
        <v>115</v>
      </c>
      <c r="B16" s="109" t="s">
        <v>115</v>
      </c>
      <c r="C16" s="109" t="s">
        <v>116</v>
      </c>
      <c r="D16" s="110">
        <v>0</v>
      </c>
      <c r="E16" s="109" t="s">
        <v>117</v>
      </c>
      <c r="F16" s="109">
        <v>1</v>
      </c>
      <c r="G16" s="109" t="s">
        <v>109</v>
      </c>
      <c r="H16" s="109"/>
      <c r="I16" s="109"/>
      <c r="J16" s="111" t="s">
        <v>118</v>
      </c>
      <c r="K16" s="112"/>
      <c r="L16" s="112"/>
      <c r="M16" s="112"/>
      <c r="N16" s="112"/>
      <c r="O16" s="112" t="s">
        <v>17</v>
      </c>
      <c r="P16" s="113"/>
      <c r="Q16" s="114" t="s">
        <v>33</v>
      </c>
      <c r="R16" s="115"/>
      <c r="S16" s="112"/>
      <c r="T16" s="112"/>
      <c r="U16" s="113"/>
    </row>
    <row r="17" spans="1:21" s="110" customFormat="1" ht="10" x14ac:dyDescent="0.25">
      <c r="A17" s="109" t="s">
        <v>119</v>
      </c>
      <c r="B17" s="109" t="s">
        <v>119</v>
      </c>
      <c r="C17" s="109" t="s">
        <v>120</v>
      </c>
      <c r="D17" s="110" t="s">
        <v>113</v>
      </c>
      <c r="E17" s="109" t="s">
        <v>121</v>
      </c>
      <c r="F17" s="109">
        <v>1</v>
      </c>
      <c r="G17" s="109" t="s">
        <v>109</v>
      </c>
      <c r="H17" s="109"/>
      <c r="I17" s="109"/>
      <c r="J17" s="111" t="s">
        <v>88</v>
      </c>
      <c r="K17" s="112">
        <v>10</v>
      </c>
      <c r="L17" s="112"/>
      <c r="M17" s="112"/>
      <c r="N17" s="112"/>
      <c r="O17" s="112" t="s">
        <v>17</v>
      </c>
      <c r="P17" s="113"/>
      <c r="Q17" s="114" t="s">
        <v>33</v>
      </c>
      <c r="R17" s="115"/>
      <c r="S17" s="112"/>
      <c r="T17" s="112"/>
      <c r="U17" s="113"/>
    </row>
    <row r="18" spans="1:21" s="110" customFormat="1" ht="10" x14ac:dyDescent="0.25">
      <c r="A18" s="109" t="s">
        <v>122</v>
      </c>
      <c r="B18" s="109" t="s">
        <v>122</v>
      </c>
      <c r="C18" s="109" t="s">
        <v>123</v>
      </c>
      <c r="D18" s="110">
        <v>0</v>
      </c>
      <c r="E18" s="109" t="s">
        <v>124</v>
      </c>
      <c r="F18" s="109">
        <v>1</v>
      </c>
      <c r="G18" s="109" t="s">
        <v>109</v>
      </c>
      <c r="H18" s="117"/>
      <c r="I18" s="109"/>
      <c r="J18" s="111" t="s">
        <v>118</v>
      </c>
      <c r="K18" s="112"/>
      <c r="L18" s="112"/>
      <c r="M18" s="112"/>
      <c r="N18" s="112"/>
      <c r="O18" s="112" t="s">
        <v>17</v>
      </c>
      <c r="P18" s="113"/>
      <c r="Q18" s="114" t="s">
        <v>33</v>
      </c>
      <c r="R18" s="112"/>
      <c r="S18" s="112"/>
      <c r="T18" s="118"/>
      <c r="U18" s="113"/>
    </row>
    <row r="19" spans="1:21" s="110" customFormat="1" ht="10" x14ac:dyDescent="0.25">
      <c r="A19" s="109" t="s">
        <v>125</v>
      </c>
      <c r="B19" s="109" t="s">
        <v>125</v>
      </c>
      <c r="C19" s="109" t="s">
        <v>126</v>
      </c>
      <c r="D19" s="110">
        <v>0</v>
      </c>
      <c r="E19" s="109" t="s">
        <v>127</v>
      </c>
      <c r="F19" s="109">
        <v>1</v>
      </c>
      <c r="G19" s="109" t="s">
        <v>109</v>
      </c>
      <c r="H19" s="117"/>
      <c r="I19" s="109"/>
      <c r="J19" s="111" t="s">
        <v>6</v>
      </c>
      <c r="K19" s="112"/>
      <c r="L19" s="112"/>
      <c r="M19" s="112"/>
      <c r="N19" s="112"/>
      <c r="O19" s="112" t="s">
        <v>17</v>
      </c>
      <c r="P19" s="113"/>
      <c r="Q19" s="114" t="s">
        <v>33</v>
      </c>
      <c r="R19" s="112"/>
      <c r="S19" s="112"/>
      <c r="T19" s="118"/>
      <c r="U19" s="113"/>
    </row>
    <row r="20" spans="1:21" s="110" customFormat="1" ht="10" x14ac:dyDescent="0.25">
      <c r="A20" s="109" t="s">
        <v>128</v>
      </c>
      <c r="B20" s="109" t="s">
        <v>128</v>
      </c>
      <c r="C20" s="109" t="s">
        <v>129</v>
      </c>
      <c r="D20" s="110">
        <v>0</v>
      </c>
      <c r="E20" s="109" t="s">
        <v>130</v>
      </c>
      <c r="F20" s="109">
        <v>1</v>
      </c>
      <c r="G20" s="109" t="s">
        <v>131</v>
      </c>
      <c r="H20" s="117"/>
      <c r="I20" s="109"/>
      <c r="J20" s="111" t="s">
        <v>118</v>
      </c>
      <c r="K20" s="112"/>
      <c r="L20" s="112"/>
      <c r="M20" s="112"/>
      <c r="N20" s="112"/>
      <c r="O20" s="112" t="s">
        <v>17</v>
      </c>
      <c r="P20" s="113"/>
      <c r="Q20" s="114" t="s">
        <v>33</v>
      </c>
      <c r="R20" s="112"/>
      <c r="S20" s="112"/>
      <c r="T20" s="118"/>
      <c r="U20" s="113"/>
    </row>
    <row r="21" spans="1:21" s="110" customFormat="1" ht="10" x14ac:dyDescent="0.25">
      <c r="A21" s="109" t="s">
        <v>132</v>
      </c>
      <c r="B21" s="109" t="s">
        <v>132</v>
      </c>
      <c r="C21" s="109" t="s">
        <v>133</v>
      </c>
      <c r="D21" s="110" t="s">
        <v>134</v>
      </c>
      <c r="E21" s="109" t="s">
        <v>135</v>
      </c>
      <c r="F21" s="109">
        <v>1</v>
      </c>
      <c r="G21" s="109" t="s">
        <v>131</v>
      </c>
      <c r="H21" s="109"/>
      <c r="I21" s="109"/>
      <c r="J21" s="111" t="s">
        <v>88</v>
      </c>
      <c r="K21" s="112">
        <v>10</v>
      </c>
      <c r="L21" s="112"/>
      <c r="M21" s="112"/>
      <c r="N21" s="112"/>
      <c r="O21" s="112" t="s">
        <v>17</v>
      </c>
      <c r="P21" s="113"/>
      <c r="Q21" s="114" t="s">
        <v>33</v>
      </c>
      <c r="R21" s="115"/>
      <c r="S21" s="112"/>
      <c r="T21" s="112"/>
      <c r="U21" s="113"/>
    </row>
    <row r="22" spans="1:21" s="110" customFormat="1" ht="10" x14ac:dyDescent="0.25">
      <c r="A22" s="109" t="s">
        <v>136</v>
      </c>
      <c r="B22" s="109" t="s">
        <v>136</v>
      </c>
      <c r="C22" s="109" t="s">
        <v>137</v>
      </c>
      <c r="D22" s="110">
        <v>0</v>
      </c>
      <c r="E22" s="109" t="s">
        <v>138</v>
      </c>
      <c r="F22" s="109">
        <v>1</v>
      </c>
      <c r="G22" s="109" t="s">
        <v>131</v>
      </c>
      <c r="H22" s="117"/>
      <c r="I22" s="109"/>
      <c r="J22" s="111" t="s">
        <v>118</v>
      </c>
      <c r="K22" s="112"/>
      <c r="L22" s="112"/>
      <c r="M22" s="112"/>
      <c r="N22" s="112"/>
      <c r="O22" s="112" t="s">
        <v>17</v>
      </c>
      <c r="P22" s="113"/>
      <c r="Q22" s="114" t="s">
        <v>33</v>
      </c>
      <c r="R22" s="112"/>
      <c r="S22" s="112"/>
      <c r="T22" s="112"/>
      <c r="U22" s="113"/>
    </row>
    <row r="23" spans="1:21" s="110" customFormat="1" ht="10" x14ac:dyDescent="0.25">
      <c r="A23" s="109" t="s">
        <v>139</v>
      </c>
      <c r="B23" s="109" t="s">
        <v>139</v>
      </c>
      <c r="C23" s="109" t="s">
        <v>140</v>
      </c>
      <c r="D23" s="110">
        <v>0</v>
      </c>
      <c r="E23" s="109" t="s">
        <v>141</v>
      </c>
      <c r="F23" s="109">
        <v>1</v>
      </c>
      <c r="G23" s="109" t="s">
        <v>131</v>
      </c>
      <c r="H23" s="117"/>
      <c r="I23" s="109"/>
      <c r="J23" s="111" t="s">
        <v>118</v>
      </c>
      <c r="K23" s="112"/>
      <c r="L23" s="112"/>
      <c r="M23" s="112"/>
      <c r="N23" s="112"/>
      <c r="O23" s="112" t="s">
        <v>17</v>
      </c>
      <c r="P23" s="113"/>
      <c r="Q23" s="114" t="s">
        <v>33</v>
      </c>
      <c r="R23" s="112"/>
      <c r="S23" s="112"/>
      <c r="T23" s="112"/>
      <c r="U23" s="113"/>
    </row>
    <row r="24" spans="1:21" s="110" customFormat="1" ht="10" x14ac:dyDescent="0.25">
      <c r="A24" s="109" t="s">
        <v>142</v>
      </c>
      <c r="B24" s="109" t="s">
        <v>142</v>
      </c>
      <c r="C24" s="109" t="s">
        <v>143</v>
      </c>
      <c r="D24" s="110" t="s">
        <v>144</v>
      </c>
      <c r="E24" s="109" t="s">
        <v>135</v>
      </c>
      <c r="F24" s="109">
        <v>1</v>
      </c>
      <c r="G24" s="109" t="s">
        <v>131</v>
      </c>
      <c r="H24" s="109"/>
      <c r="I24" s="109"/>
      <c r="J24" s="111" t="s">
        <v>88</v>
      </c>
      <c r="K24" s="112">
        <v>10</v>
      </c>
      <c r="L24" s="112"/>
      <c r="M24" s="112"/>
      <c r="N24" s="112"/>
      <c r="O24" s="112" t="s">
        <v>17</v>
      </c>
      <c r="P24" s="113"/>
      <c r="Q24" s="114" t="s">
        <v>33</v>
      </c>
      <c r="R24" s="115"/>
      <c r="S24" s="112"/>
      <c r="T24" s="112"/>
      <c r="U24" s="113"/>
    </row>
    <row r="25" spans="1:21" s="110" customFormat="1" ht="10" x14ac:dyDescent="0.25">
      <c r="A25" s="109" t="s">
        <v>145</v>
      </c>
      <c r="B25" s="109" t="s">
        <v>145</v>
      </c>
      <c r="C25" s="109" t="s">
        <v>146</v>
      </c>
      <c r="D25" s="110">
        <v>0</v>
      </c>
      <c r="E25" s="109">
        <v>2004</v>
      </c>
      <c r="F25" s="109">
        <v>1</v>
      </c>
      <c r="G25" s="109" t="s">
        <v>131</v>
      </c>
      <c r="H25" s="109"/>
      <c r="I25" s="109"/>
      <c r="J25" s="111" t="s">
        <v>6</v>
      </c>
      <c r="K25" s="112"/>
      <c r="L25" s="112"/>
      <c r="M25" s="112"/>
      <c r="N25" s="112"/>
      <c r="O25" s="112" t="s">
        <v>17</v>
      </c>
      <c r="P25" s="113"/>
      <c r="Q25" s="114" t="s">
        <v>33</v>
      </c>
      <c r="R25" s="112"/>
      <c r="S25" s="112"/>
      <c r="T25" s="115"/>
      <c r="U25" s="113"/>
    </row>
    <row r="26" spans="1:21" s="110" customFormat="1" ht="10" x14ac:dyDescent="0.25">
      <c r="A26" s="109" t="s">
        <v>147</v>
      </c>
      <c r="B26" s="109" t="s">
        <v>147</v>
      </c>
      <c r="C26" s="109" t="s">
        <v>148</v>
      </c>
      <c r="D26" s="110">
        <v>0</v>
      </c>
      <c r="E26" s="109" t="s">
        <v>149</v>
      </c>
      <c r="F26" s="109">
        <v>1</v>
      </c>
      <c r="G26" s="109" t="s">
        <v>109</v>
      </c>
      <c r="H26" s="117"/>
      <c r="I26" s="109"/>
      <c r="J26" s="111" t="s">
        <v>150</v>
      </c>
      <c r="K26" s="112"/>
      <c r="L26" s="112"/>
      <c r="M26" s="112"/>
      <c r="N26" s="112"/>
      <c r="O26" s="112" t="s">
        <v>17</v>
      </c>
      <c r="P26" s="113">
        <v>0</v>
      </c>
      <c r="Q26" s="114" t="s">
        <v>33</v>
      </c>
      <c r="R26" s="112"/>
      <c r="S26" s="112"/>
      <c r="T26" s="118"/>
      <c r="U26" s="113"/>
    </row>
    <row r="27" spans="1:21" s="110" customFormat="1" ht="10" x14ac:dyDescent="0.25">
      <c r="A27" s="109"/>
      <c r="B27" s="109"/>
      <c r="C27" s="109"/>
      <c r="E27" s="109"/>
      <c r="F27" s="109"/>
      <c r="G27" s="109"/>
      <c r="H27" s="117"/>
      <c r="I27" s="109"/>
      <c r="J27" s="111"/>
      <c r="K27" s="112"/>
      <c r="L27" s="112"/>
      <c r="M27" s="112"/>
      <c r="N27" s="112"/>
      <c r="O27" s="112"/>
      <c r="P27" s="113"/>
      <c r="Q27" s="114"/>
      <c r="R27" s="112"/>
      <c r="S27" s="112"/>
      <c r="T27" s="112"/>
      <c r="U27" s="113"/>
    </row>
    <row r="28" spans="1:21" s="110" customFormat="1" ht="10" x14ac:dyDescent="0.25">
      <c r="A28" s="109"/>
      <c r="B28" s="109"/>
      <c r="C28" s="109"/>
      <c r="E28" s="109"/>
      <c r="F28" s="109"/>
      <c r="G28" s="109"/>
      <c r="H28" s="117"/>
      <c r="I28" s="109"/>
      <c r="J28" s="111"/>
      <c r="K28" s="112"/>
      <c r="L28" s="112"/>
      <c r="M28" s="112"/>
      <c r="N28" s="112"/>
      <c r="O28" s="112"/>
      <c r="P28" s="113"/>
      <c r="Q28" s="114"/>
      <c r="R28" s="112"/>
      <c r="S28" s="112"/>
      <c r="T28" s="112"/>
      <c r="U28" s="113"/>
    </row>
    <row r="29" spans="1:21" s="110" customFormat="1" ht="10" x14ac:dyDescent="0.25">
      <c r="A29" s="109"/>
      <c r="B29" s="109"/>
      <c r="C29" s="109"/>
      <c r="E29" s="109"/>
      <c r="F29" s="109"/>
      <c r="G29" s="109"/>
      <c r="H29" s="117"/>
      <c r="I29" s="109"/>
      <c r="J29" s="111"/>
      <c r="K29" s="112"/>
      <c r="L29" s="112"/>
      <c r="M29" s="112"/>
      <c r="N29" s="112"/>
      <c r="O29" s="112"/>
      <c r="P29" s="113"/>
      <c r="Q29" s="114"/>
      <c r="R29" s="112"/>
      <c r="S29" s="112"/>
      <c r="T29" s="112"/>
      <c r="U29" s="113"/>
    </row>
    <row r="30" spans="1:21" s="110" customFormat="1" ht="10" x14ac:dyDescent="0.25">
      <c r="A30" s="109"/>
      <c r="B30" s="109"/>
      <c r="C30" s="109"/>
      <c r="E30" s="109"/>
      <c r="F30" s="109"/>
      <c r="G30" s="109"/>
      <c r="H30" s="117"/>
      <c r="I30" s="109"/>
      <c r="J30" s="111"/>
      <c r="K30" s="112"/>
      <c r="L30" s="112"/>
      <c r="M30" s="112"/>
      <c r="N30" s="112"/>
      <c r="O30" s="112"/>
      <c r="P30" s="113"/>
      <c r="Q30" s="114"/>
      <c r="R30" s="112"/>
      <c r="S30" s="112"/>
      <c r="T30" s="112"/>
      <c r="U30" s="113"/>
    </row>
    <row r="31" spans="1:21" s="110" customFormat="1" ht="10" x14ac:dyDescent="0.25">
      <c r="A31" s="109"/>
      <c r="B31" s="109"/>
      <c r="C31" s="109"/>
      <c r="E31" s="109"/>
      <c r="F31" s="109"/>
      <c r="G31" s="109"/>
      <c r="H31" s="117"/>
      <c r="I31" s="109"/>
      <c r="J31" s="111"/>
      <c r="K31" s="112"/>
      <c r="L31" s="112"/>
      <c r="M31" s="112"/>
      <c r="N31" s="112"/>
      <c r="O31" s="112"/>
      <c r="P31" s="113"/>
      <c r="Q31" s="114"/>
      <c r="R31" s="112"/>
      <c r="S31" s="112"/>
      <c r="T31" s="112"/>
      <c r="U31" s="113"/>
    </row>
    <row r="32" spans="1:21" s="119" customFormat="1" x14ac:dyDescent="0.25">
      <c r="A32" s="110"/>
      <c r="B32" s="109"/>
      <c r="C32" s="109"/>
      <c r="D32" s="110"/>
      <c r="E32" s="109"/>
      <c r="F32" s="109"/>
      <c r="G32" s="109"/>
      <c r="H32" s="109"/>
      <c r="I32" s="109"/>
      <c r="J32" s="110"/>
      <c r="K32" s="110"/>
      <c r="L32" s="110"/>
      <c r="M32" s="110"/>
      <c r="N32" s="110"/>
      <c r="O32" s="110"/>
      <c r="P32" s="110"/>
      <c r="Q32" s="109"/>
      <c r="R32" s="109"/>
      <c r="S32" s="110"/>
      <c r="T32" s="110"/>
      <c r="U32" s="110"/>
    </row>
    <row r="33" spans="5:5" x14ac:dyDescent="0.25">
      <c r="E33" s="120"/>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6"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255A1-7087-4739-A8DF-B51E88C7AE63}">
  <sheetPr codeName="Sheet29">
    <tabColor theme="7" tint="0.79998168889431442"/>
    <pageSetUpPr fitToPage="1"/>
  </sheetPr>
  <dimension ref="A1:Z20"/>
  <sheetViews>
    <sheetView zoomScale="97" zoomScaleNormal="100" zoomScaleSheetLayoutView="100" workbookViewId="0">
      <pane xSplit="2" ySplit="12" topLeftCell="P13" activePane="bottomRight" state="frozenSplit"/>
      <selection pane="topRight" activeCell="C1" sqref="C1"/>
      <selection pane="bottomLeft" activeCell="A13" sqref="A13"/>
      <selection pane="bottomRight" activeCell="B7" sqref="B7"/>
    </sheetView>
  </sheetViews>
  <sheetFormatPr defaultColWidth="9.26953125" defaultRowHeight="12.5" x14ac:dyDescent="0.25"/>
  <cols>
    <col min="1" max="1" width="20.453125" style="9" customWidth="1"/>
    <col min="2" max="2" width="18.54296875" style="9" customWidth="1"/>
    <col min="3" max="3" width="32.54296875" style="9" customWidth="1"/>
    <col min="4" max="4" width="10.453125" style="9" customWidth="1"/>
    <col min="5" max="5" width="18.7265625" style="7" bestFit="1" customWidth="1"/>
    <col min="6" max="6" width="4.7265625" style="7" customWidth="1"/>
    <col min="7" max="7" width="15.7265625" style="9" bestFit="1" customWidth="1"/>
    <col min="8" max="8" width="31.54296875" style="9" customWidth="1"/>
    <col min="9" max="9" width="37" style="9" customWidth="1"/>
    <col min="10" max="10" width="9.453125" style="9" customWidth="1"/>
    <col min="11" max="11" width="6.26953125" style="9" customWidth="1"/>
    <col min="12" max="12" width="7.26953125" style="9" customWidth="1"/>
    <col min="13" max="13" width="4.54296875" style="9" bestFit="1" customWidth="1"/>
    <col min="14" max="14" width="15.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7265625" style="9" bestFit="1" customWidth="1"/>
    <col min="21" max="21" width="10.26953125" style="9" customWidth="1"/>
    <col min="22" max="22" width="9.26953125" style="9"/>
    <col min="23" max="23" width="11.36328125" style="9" bestFit="1" customWidth="1"/>
    <col min="24" max="24" width="9.26953125" style="9"/>
    <col min="25" max="25" width="13.54296875" style="9" bestFit="1" customWidth="1"/>
    <col min="26" max="16384" width="9.26953125" style="9"/>
  </cols>
  <sheetData>
    <row r="1" spans="1:26" s="10" customFormat="1" ht="17.5" x14ac:dyDescent="0.35">
      <c r="A1" s="26" t="s">
        <v>12</v>
      </c>
      <c r="B1" s="8" t="s">
        <v>340</v>
      </c>
      <c r="C1" s="11"/>
      <c r="E1" s="4"/>
      <c r="F1" s="4"/>
      <c r="G1" s="11"/>
    </row>
    <row r="2" spans="1:26" s="11" customFormat="1" x14ac:dyDescent="0.25">
      <c r="A2" s="27" t="s">
        <v>10</v>
      </c>
      <c r="B2" s="23" t="s">
        <v>11</v>
      </c>
      <c r="E2" s="2"/>
      <c r="F2" s="2"/>
    </row>
    <row r="3" spans="1:26" x14ac:dyDescent="0.25">
      <c r="A3" s="28" t="s">
        <v>61</v>
      </c>
      <c r="B3" s="19" t="s">
        <v>189</v>
      </c>
    </row>
    <row r="4" spans="1:26" x14ac:dyDescent="0.25">
      <c r="A4" s="28" t="s">
        <v>80</v>
      </c>
      <c r="B4" s="19" t="s">
        <v>201</v>
      </c>
    </row>
    <row r="5" spans="1:26" s="11" customFormat="1" x14ac:dyDescent="0.25">
      <c r="A5" s="27" t="s">
        <v>81</v>
      </c>
      <c r="B5" s="19" t="s">
        <v>167</v>
      </c>
      <c r="E5" s="2"/>
      <c r="F5" s="2"/>
      <c r="H5" s="9"/>
    </row>
    <row r="6" spans="1:26" s="11" customFormat="1" x14ac:dyDescent="0.25">
      <c r="A6" s="27" t="s">
        <v>92</v>
      </c>
      <c r="B6" s="19" t="s">
        <v>341</v>
      </c>
      <c r="E6" s="2"/>
      <c r="F6" s="2"/>
    </row>
    <row r="7" spans="1:26" s="11" customFormat="1" x14ac:dyDescent="0.25">
      <c r="A7" s="29" t="s">
        <v>93</v>
      </c>
      <c r="B7" s="9"/>
      <c r="E7" s="2"/>
      <c r="F7" s="2"/>
    </row>
    <row r="8" spans="1:26" s="11" customFormat="1" x14ac:dyDescent="0.25">
      <c r="A8" s="29" t="s">
        <v>19</v>
      </c>
      <c r="B8" s="19" t="s">
        <v>168</v>
      </c>
      <c r="E8" s="2"/>
      <c r="F8" s="2"/>
    </row>
    <row r="9" spans="1:26" s="11" customFormat="1" x14ac:dyDescent="0.25">
      <c r="A9" s="27" t="s">
        <v>82</v>
      </c>
      <c r="B9" s="37" t="s">
        <v>17</v>
      </c>
      <c r="C9" s="20"/>
      <c r="E9" s="2"/>
      <c r="F9" s="2"/>
      <c r="G9" s="20"/>
    </row>
    <row r="11" spans="1:26" s="25" customFormat="1" ht="13.5" customHeight="1" x14ac:dyDescent="0.25">
      <c r="A11" s="50"/>
      <c r="B11" s="50"/>
      <c r="C11" s="50"/>
      <c r="D11" s="50"/>
      <c r="E11" s="51"/>
      <c r="F11" s="51"/>
      <c r="G11" s="50"/>
      <c r="H11" s="52"/>
      <c r="I11" s="53"/>
      <c r="J11" s="142" t="s">
        <v>22</v>
      </c>
      <c r="K11" s="143"/>
      <c r="L11" s="143"/>
      <c r="M11" s="143"/>
      <c r="N11" s="143"/>
      <c r="O11" s="143"/>
      <c r="P11" s="144"/>
      <c r="Q11" s="145" t="s">
        <v>23</v>
      </c>
      <c r="R11" s="146"/>
      <c r="S11" s="146"/>
      <c r="T11" s="146"/>
      <c r="U11" s="147"/>
      <c r="V11" s="145" t="s">
        <v>23</v>
      </c>
      <c r="W11" s="146"/>
      <c r="X11" s="146"/>
      <c r="Y11" s="146"/>
      <c r="Z11" s="147"/>
    </row>
    <row r="12" spans="1:26" s="25" customFormat="1" ht="26.25" customHeight="1" x14ac:dyDescent="0.25">
      <c r="A12" s="51" t="s">
        <v>13</v>
      </c>
      <c r="B12" s="51" t="s">
        <v>61</v>
      </c>
      <c r="C12" s="51" t="s">
        <v>20</v>
      </c>
      <c r="D12" s="51" t="s">
        <v>4</v>
      </c>
      <c r="E12" s="51" t="s">
        <v>24</v>
      </c>
      <c r="F12" s="51" t="s">
        <v>31</v>
      </c>
      <c r="G12" s="54" t="s">
        <v>91</v>
      </c>
      <c r="H12" s="51" t="s">
        <v>46</v>
      </c>
      <c r="I12" s="51" t="s">
        <v>27</v>
      </c>
      <c r="J12" s="55" t="s">
        <v>25</v>
      </c>
      <c r="K12" s="50" t="s">
        <v>19</v>
      </c>
      <c r="L12" s="50" t="s">
        <v>26</v>
      </c>
      <c r="M12" s="50" t="s">
        <v>14</v>
      </c>
      <c r="N12" s="50" t="s">
        <v>28</v>
      </c>
      <c r="O12" s="50" t="s">
        <v>15</v>
      </c>
      <c r="P12" s="56" t="s">
        <v>29</v>
      </c>
      <c r="Q12" s="57" t="s">
        <v>48</v>
      </c>
      <c r="R12" s="50" t="s">
        <v>49</v>
      </c>
      <c r="S12" s="50" t="s">
        <v>50</v>
      </c>
      <c r="T12" s="50" t="s">
        <v>51</v>
      </c>
      <c r="U12" s="56" t="s">
        <v>42</v>
      </c>
      <c r="V12" s="57" t="s">
        <v>48</v>
      </c>
      <c r="W12" s="50" t="s">
        <v>49</v>
      </c>
      <c r="X12" s="50" t="s">
        <v>50</v>
      </c>
      <c r="Y12" s="50" t="s">
        <v>51</v>
      </c>
      <c r="Z12" s="56" t="s">
        <v>42</v>
      </c>
    </row>
    <row r="13" spans="1:26" s="121" customFormat="1" ht="10" x14ac:dyDescent="0.25">
      <c r="A13" s="22" t="s">
        <v>165</v>
      </c>
      <c r="B13" s="22" t="str">
        <f>A13</f>
        <v>ProductKey</v>
      </c>
      <c r="C13" s="22" t="s">
        <v>158</v>
      </c>
      <c r="D13" s="24">
        <v>-1</v>
      </c>
      <c r="E13" s="22" t="s">
        <v>160</v>
      </c>
      <c r="F13" s="22" t="s">
        <v>98</v>
      </c>
      <c r="G13" s="22"/>
      <c r="H13" s="22"/>
      <c r="I13" s="22"/>
      <c r="J13" s="32" t="s">
        <v>16</v>
      </c>
      <c r="K13" s="33"/>
      <c r="L13" s="33"/>
      <c r="M13" s="33" t="s">
        <v>18</v>
      </c>
      <c r="N13" s="33"/>
      <c r="O13" s="33" t="s">
        <v>17</v>
      </c>
      <c r="P13" s="130"/>
      <c r="Q13" s="34" t="s">
        <v>33</v>
      </c>
      <c r="R13" s="35"/>
      <c r="S13" s="33"/>
      <c r="T13" s="35"/>
      <c r="U13" s="36"/>
      <c r="V13" s="34" t="s">
        <v>33</v>
      </c>
      <c r="W13" s="35"/>
      <c r="X13" s="33"/>
      <c r="Y13" s="35"/>
      <c r="Z13" s="36"/>
    </row>
    <row r="14" spans="1:26" s="6" customFormat="1" ht="10" x14ac:dyDescent="0.25">
      <c r="A14" s="22" t="s">
        <v>186</v>
      </c>
      <c r="B14" s="22" t="str">
        <f t="shared" ref="B14:B16" si="0">A14</f>
        <v>product_id</v>
      </c>
      <c r="C14" s="22" t="s">
        <v>159</v>
      </c>
      <c r="E14" s="24" t="s">
        <v>9</v>
      </c>
      <c r="F14" s="22" t="s">
        <v>98</v>
      </c>
      <c r="G14" s="22"/>
      <c r="H14" s="22"/>
      <c r="I14" s="22"/>
      <c r="J14" s="32" t="s">
        <v>16</v>
      </c>
      <c r="K14" s="33"/>
      <c r="L14" s="33"/>
      <c r="M14" s="33" t="s">
        <v>41</v>
      </c>
      <c r="N14" s="33"/>
      <c r="O14" s="33" t="s">
        <v>17</v>
      </c>
      <c r="P14" s="130"/>
      <c r="Q14" s="34" t="s">
        <v>176</v>
      </c>
      <c r="R14" s="35" t="s">
        <v>162</v>
      </c>
      <c r="S14" s="33" t="s">
        <v>173</v>
      </c>
      <c r="T14" s="35" t="s">
        <v>186</v>
      </c>
      <c r="U14" s="36" t="str">
        <f>J14</f>
        <v>int</v>
      </c>
      <c r="V14" s="34" t="s">
        <v>179</v>
      </c>
      <c r="W14" s="35" t="s">
        <v>162</v>
      </c>
      <c r="X14" s="33" t="s">
        <v>206</v>
      </c>
      <c r="Y14" s="35" t="s">
        <v>202</v>
      </c>
      <c r="Z14" s="36" t="str">
        <f>O14</f>
        <v>N</v>
      </c>
    </row>
    <row r="15" spans="1:26" s="6" customFormat="1" ht="20" customHeight="1" x14ac:dyDescent="0.25">
      <c r="A15" s="22" t="s">
        <v>187</v>
      </c>
      <c r="B15" s="22" t="str">
        <f t="shared" si="0"/>
        <v>product_name</v>
      </c>
      <c r="C15" s="22" t="s">
        <v>166</v>
      </c>
      <c r="E15" s="24"/>
      <c r="F15" s="22">
        <v>2</v>
      </c>
      <c r="G15" s="22"/>
      <c r="H15" s="22"/>
      <c r="I15" s="22"/>
      <c r="J15" s="32" t="s">
        <v>87</v>
      </c>
      <c r="K15" s="33"/>
      <c r="L15" s="33"/>
      <c r="M15" s="33"/>
      <c r="N15" s="33"/>
      <c r="O15" s="33" t="s">
        <v>17</v>
      </c>
      <c r="P15" s="130"/>
      <c r="Q15" s="34" t="s">
        <v>176</v>
      </c>
      <c r="R15" s="35" t="s">
        <v>162</v>
      </c>
      <c r="S15" s="33" t="s">
        <v>173</v>
      </c>
      <c r="T15" s="35" t="s">
        <v>187</v>
      </c>
      <c r="U15" s="36" t="str">
        <f t="shared" ref="U15" si="1">J15</f>
        <v>nvarchar</v>
      </c>
      <c r="V15" s="34" t="s">
        <v>179</v>
      </c>
      <c r="W15" s="35" t="s">
        <v>162</v>
      </c>
      <c r="X15" s="33" t="s">
        <v>206</v>
      </c>
      <c r="Y15" s="35" t="s">
        <v>203</v>
      </c>
      <c r="Z15" s="36" t="str">
        <f t="shared" ref="Z15" si="2">O15</f>
        <v>N</v>
      </c>
    </row>
    <row r="16" spans="1:26" s="6" customFormat="1" ht="20" customHeight="1" x14ac:dyDescent="0.25">
      <c r="A16" s="22" t="s">
        <v>188</v>
      </c>
      <c r="B16" s="22" t="str">
        <f t="shared" si="0"/>
        <v>product_department</v>
      </c>
      <c r="C16" s="22" t="s">
        <v>251</v>
      </c>
      <c r="E16" s="24"/>
      <c r="F16" s="22">
        <v>2</v>
      </c>
      <c r="G16" s="22"/>
      <c r="H16" s="22"/>
      <c r="I16" s="22"/>
      <c r="J16" s="32" t="s">
        <v>87</v>
      </c>
      <c r="K16" s="33"/>
      <c r="L16" s="33"/>
      <c r="M16" s="33"/>
      <c r="N16" s="33"/>
      <c r="O16" s="33" t="s">
        <v>17</v>
      </c>
      <c r="P16" s="130"/>
      <c r="Q16" s="34" t="s">
        <v>176</v>
      </c>
      <c r="R16" s="35" t="s">
        <v>162</v>
      </c>
      <c r="S16" s="33" t="s">
        <v>173</v>
      </c>
      <c r="T16" s="35" t="s">
        <v>188</v>
      </c>
      <c r="U16" s="36" t="s">
        <v>87</v>
      </c>
      <c r="V16" s="34" t="s">
        <v>179</v>
      </c>
      <c r="W16" s="35" t="s">
        <v>162</v>
      </c>
      <c r="X16" s="33" t="s">
        <v>206</v>
      </c>
      <c r="Y16" s="35" t="s">
        <v>204</v>
      </c>
      <c r="Z16" s="36" t="s">
        <v>87</v>
      </c>
    </row>
    <row r="17" spans="1:26" s="75" customFormat="1" ht="20" customHeight="1" x14ac:dyDescent="0.25">
      <c r="A17" s="75" t="s">
        <v>52</v>
      </c>
      <c r="B17" s="75" t="s">
        <v>70</v>
      </c>
      <c r="C17" s="76" t="s">
        <v>35</v>
      </c>
      <c r="D17" s="75" t="s">
        <v>47</v>
      </c>
      <c r="E17" s="76" t="s">
        <v>39</v>
      </c>
      <c r="F17" s="76" t="s">
        <v>32</v>
      </c>
      <c r="G17" s="76" t="s">
        <v>95</v>
      </c>
      <c r="H17" s="76" t="s">
        <v>101</v>
      </c>
      <c r="I17" s="76"/>
      <c r="J17" s="77" t="s">
        <v>150</v>
      </c>
      <c r="K17" s="78"/>
      <c r="L17" s="78"/>
      <c r="M17" s="78"/>
      <c r="N17" s="78"/>
      <c r="O17" s="78" t="s">
        <v>17</v>
      </c>
      <c r="P17" s="79" t="b">
        <v>1</v>
      </c>
      <c r="Q17" s="80" t="s">
        <v>33</v>
      </c>
      <c r="R17" s="81"/>
      <c r="S17" s="78"/>
      <c r="T17" s="78"/>
      <c r="U17" s="79"/>
      <c r="V17" s="80" t="s">
        <v>33</v>
      </c>
      <c r="W17" s="81"/>
      <c r="X17" s="78"/>
      <c r="Y17" s="78"/>
      <c r="Z17" s="79"/>
    </row>
    <row r="18" spans="1:26" s="75" customFormat="1" ht="20" customHeight="1" x14ac:dyDescent="0.25">
      <c r="A18" s="76" t="s">
        <v>53</v>
      </c>
      <c r="B18" s="76" t="s">
        <v>71</v>
      </c>
      <c r="C18" s="76" t="s">
        <v>36</v>
      </c>
      <c r="D18" s="82">
        <v>1</v>
      </c>
      <c r="E18" s="83">
        <v>40567</v>
      </c>
      <c r="F18" s="76" t="s">
        <v>32</v>
      </c>
      <c r="G18" s="76" t="s">
        <v>95</v>
      </c>
      <c r="H18" s="76" t="s">
        <v>101</v>
      </c>
      <c r="I18" s="76"/>
      <c r="J18" s="77" t="s">
        <v>34</v>
      </c>
      <c r="K18" s="78"/>
      <c r="L18" s="78"/>
      <c r="M18" s="78"/>
      <c r="N18" s="78"/>
      <c r="O18" s="78" t="s">
        <v>17</v>
      </c>
      <c r="P18" s="79"/>
      <c r="Q18" s="80" t="s">
        <v>33</v>
      </c>
      <c r="R18" s="81"/>
      <c r="S18" s="78"/>
      <c r="T18" s="78"/>
      <c r="U18" s="79"/>
      <c r="V18" s="80" t="s">
        <v>33</v>
      </c>
      <c r="W18" s="81"/>
      <c r="X18" s="78"/>
      <c r="Y18" s="78"/>
      <c r="Z18" s="79"/>
    </row>
    <row r="19" spans="1:26" s="75" customFormat="1" ht="20" x14ac:dyDescent="0.25">
      <c r="A19" s="76" t="s">
        <v>54</v>
      </c>
      <c r="B19" s="76" t="s">
        <v>72</v>
      </c>
      <c r="C19" s="76" t="s">
        <v>37</v>
      </c>
      <c r="D19" s="82">
        <v>2958465</v>
      </c>
      <c r="E19" s="76" t="s">
        <v>40</v>
      </c>
      <c r="F19" s="76" t="s">
        <v>32</v>
      </c>
      <c r="G19" s="76" t="s">
        <v>95</v>
      </c>
      <c r="H19" s="76" t="s">
        <v>101</v>
      </c>
      <c r="I19" s="76"/>
      <c r="J19" s="77" t="s">
        <v>34</v>
      </c>
      <c r="K19" s="78"/>
      <c r="L19" s="78"/>
      <c r="M19" s="78"/>
      <c r="N19" s="78"/>
      <c r="O19" s="78" t="s">
        <v>17</v>
      </c>
      <c r="P19" s="84">
        <v>2958465</v>
      </c>
      <c r="Q19" s="80" t="s">
        <v>33</v>
      </c>
      <c r="R19" s="81"/>
      <c r="S19" s="78"/>
      <c r="T19" s="78"/>
      <c r="U19" s="79"/>
      <c r="V19" s="80" t="s">
        <v>33</v>
      </c>
      <c r="W19" s="81"/>
      <c r="X19" s="78"/>
      <c r="Y19" s="78"/>
      <c r="Z19" s="79"/>
    </row>
    <row r="20" spans="1:26" s="75" customFormat="1" ht="10" x14ac:dyDescent="0.25">
      <c r="A20" s="76" t="s">
        <v>55</v>
      </c>
      <c r="B20" s="76" t="s">
        <v>73</v>
      </c>
      <c r="C20" s="76" t="s">
        <v>38</v>
      </c>
      <c r="D20" s="75" t="s">
        <v>5</v>
      </c>
      <c r="E20" s="76"/>
      <c r="F20" s="76" t="s">
        <v>32</v>
      </c>
      <c r="G20" s="76" t="s">
        <v>95</v>
      </c>
      <c r="H20" s="76" t="s">
        <v>101</v>
      </c>
      <c r="I20" s="76"/>
      <c r="J20" s="77" t="s">
        <v>87</v>
      </c>
      <c r="K20" s="78">
        <v>200</v>
      </c>
      <c r="L20" s="78"/>
      <c r="M20" s="78"/>
      <c r="N20" s="78"/>
      <c r="O20" s="78" t="s">
        <v>17</v>
      </c>
      <c r="P20" s="79"/>
      <c r="Q20" s="80" t="s">
        <v>33</v>
      </c>
      <c r="R20" s="78"/>
      <c r="S20" s="78"/>
      <c r="T20" s="85"/>
      <c r="U20" s="79"/>
      <c r="V20" s="80" t="s">
        <v>33</v>
      </c>
      <c r="W20" s="78"/>
      <c r="X20" s="78"/>
      <c r="Y20" s="85"/>
      <c r="Z20" s="79"/>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B02DD28D-FDC5-4EAB-BA58-9212836C8503}">
      <formula1>"Dimension, Fact, Audit"</formula1>
    </dataValidation>
    <dataValidation type="list" allowBlank="1" showInputMessage="1" showErrorMessage="1" sqref="B9" xr:uid="{8DEBC76C-E594-439C-A731-14AE673E3E2B}">
      <formula1>"Y, N"</formula1>
    </dataValidation>
  </dataValidations>
  <pageMargins left="0.17" right="0.25" top="0.33" bottom="0.35" header="0.22" footer="0.16"/>
  <pageSetup scale="3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6093B-44EB-4B76-BDF5-1FCAB0A7204C}">
  <sheetPr codeName="Sheet27">
    <tabColor theme="7" tint="0.79998168889431442"/>
    <pageSetUpPr fitToPage="1"/>
  </sheetPr>
  <dimension ref="A1:Z22"/>
  <sheetViews>
    <sheetView zoomScale="115" zoomScaleNormal="100" zoomScaleSheetLayoutView="100" workbookViewId="0">
      <pane xSplit="2" ySplit="12" topLeftCell="P13" activePane="bottomRight" state="frozenSplit"/>
      <selection pane="topRight" activeCell="C1" sqref="C1"/>
      <selection pane="bottomLeft" activeCell="A13" sqref="A13"/>
      <selection pane="bottomRight" activeCell="B7" sqref="B7"/>
    </sheetView>
  </sheetViews>
  <sheetFormatPr defaultColWidth="9.26953125" defaultRowHeight="12.5" x14ac:dyDescent="0.25"/>
  <cols>
    <col min="1" max="1" width="20.453125" style="9" customWidth="1"/>
    <col min="2" max="2" width="18.54296875" style="9" customWidth="1"/>
    <col min="3" max="3" width="32.54296875" style="9" customWidth="1"/>
    <col min="4" max="4" width="10.453125" style="9" customWidth="1"/>
    <col min="5" max="5" width="18.7265625" style="7" bestFit="1" customWidth="1"/>
    <col min="6" max="6" width="4.7265625" style="7" customWidth="1"/>
    <col min="7" max="7" width="15.7265625" style="9" bestFit="1" customWidth="1"/>
    <col min="8" max="8" width="31.54296875" style="9" customWidth="1"/>
    <col min="9" max="9" width="37" style="9" customWidth="1"/>
    <col min="10" max="10" width="9.453125" style="9" customWidth="1"/>
    <col min="11" max="11" width="6.26953125" style="9" customWidth="1"/>
    <col min="12" max="12" width="7.26953125" style="9" customWidth="1"/>
    <col min="13" max="13" width="4.54296875" style="9" bestFit="1" customWidth="1"/>
    <col min="14" max="14" width="15.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6.26953125" style="9" customWidth="1"/>
    <col min="21" max="21" width="10.26953125" style="9" customWidth="1"/>
    <col min="22" max="22" width="8.26953125" style="9" bestFit="1" customWidth="1"/>
    <col min="23" max="23" width="11" style="9" bestFit="1" customWidth="1"/>
    <col min="24" max="24" width="9.26953125" style="9"/>
    <col min="25" max="25" width="16.54296875" style="9" customWidth="1"/>
    <col min="26" max="16384" width="9.26953125" style="9"/>
  </cols>
  <sheetData>
    <row r="1" spans="1:26" s="10" customFormat="1" ht="17.5" x14ac:dyDescent="0.35">
      <c r="A1" s="26" t="s">
        <v>12</v>
      </c>
      <c r="B1" s="8" t="s">
        <v>352</v>
      </c>
      <c r="C1" s="11"/>
      <c r="E1" s="4"/>
      <c r="F1" s="4"/>
      <c r="G1" s="11"/>
    </row>
    <row r="2" spans="1:26" s="11" customFormat="1" x14ac:dyDescent="0.25">
      <c r="A2" s="27" t="s">
        <v>10</v>
      </c>
      <c r="B2" s="23" t="s">
        <v>11</v>
      </c>
      <c r="E2" s="2"/>
      <c r="F2" s="2"/>
    </row>
    <row r="3" spans="1:26" x14ac:dyDescent="0.25">
      <c r="A3" s="28" t="s">
        <v>61</v>
      </c>
      <c r="B3" s="19" t="s">
        <v>352</v>
      </c>
    </row>
    <row r="4" spans="1:26" x14ac:dyDescent="0.25">
      <c r="A4" s="28" t="s">
        <v>80</v>
      </c>
      <c r="B4" s="19" t="s">
        <v>201</v>
      </c>
    </row>
    <row r="5" spans="1:26" s="11" customFormat="1" x14ac:dyDescent="0.25">
      <c r="A5" s="27" t="s">
        <v>81</v>
      </c>
      <c r="B5" s="19" t="s">
        <v>154</v>
      </c>
      <c r="E5" s="2"/>
      <c r="F5" s="2"/>
      <c r="H5" s="9"/>
    </row>
    <row r="6" spans="1:26" s="11" customFormat="1" x14ac:dyDescent="0.25">
      <c r="A6" s="27" t="s">
        <v>92</v>
      </c>
      <c r="B6" s="19" t="s">
        <v>341</v>
      </c>
      <c r="E6" s="2"/>
      <c r="F6" s="2"/>
    </row>
    <row r="7" spans="1:26" s="11" customFormat="1" x14ac:dyDescent="0.25">
      <c r="A7" s="29" t="s">
        <v>93</v>
      </c>
      <c r="B7" s="9"/>
      <c r="E7" s="2"/>
      <c r="F7" s="2"/>
    </row>
    <row r="8" spans="1:26" s="11" customFormat="1" x14ac:dyDescent="0.25">
      <c r="A8" s="29" t="s">
        <v>19</v>
      </c>
      <c r="B8" s="19" t="s">
        <v>155</v>
      </c>
      <c r="E8" s="2"/>
      <c r="F8" s="2"/>
    </row>
    <row r="9" spans="1:26" s="11" customFormat="1" x14ac:dyDescent="0.25">
      <c r="A9" s="27" t="s">
        <v>82</v>
      </c>
      <c r="B9" s="37" t="s">
        <v>17</v>
      </c>
      <c r="C9" s="20"/>
      <c r="E9" s="2"/>
      <c r="F9" s="2"/>
      <c r="G9" s="20"/>
    </row>
    <row r="11" spans="1:26" s="25" customFormat="1" ht="13.5" customHeight="1" x14ac:dyDescent="0.25">
      <c r="A11" s="50"/>
      <c r="B11" s="50"/>
      <c r="C11" s="50"/>
      <c r="D11" s="50"/>
      <c r="E11" s="51"/>
      <c r="F11" s="51"/>
      <c r="G11" s="50"/>
      <c r="H11" s="52"/>
      <c r="I11" s="53"/>
      <c r="J11" s="142" t="s">
        <v>22</v>
      </c>
      <c r="K11" s="143"/>
      <c r="L11" s="143"/>
      <c r="M11" s="143"/>
      <c r="N11" s="143"/>
      <c r="O11" s="143"/>
      <c r="P11" s="144"/>
      <c r="Q11" s="145" t="s">
        <v>23</v>
      </c>
      <c r="R11" s="146"/>
      <c r="S11" s="146"/>
      <c r="T11" s="146"/>
      <c r="U11" s="147"/>
      <c r="V11" s="145" t="s">
        <v>23</v>
      </c>
      <c r="W11" s="146"/>
      <c r="X11" s="146"/>
      <c r="Y11" s="146"/>
      <c r="Z11" s="147"/>
    </row>
    <row r="12" spans="1:26" s="25" customFormat="1" ht="26.25" customHeight="1" x14ac:dyDescent="0.25">
      <c r="A12" s="51" t="s">
        <v>13</v>
      </c>
      <c r="B12" s="51" t="s">
        <v>61</v>
      </c>
      <c r="C12" s="51" t="s">
        <v>20</v>
      </c>
      <c r="D12" s="51" t="s">
        <v>4</v>
      </c>
      <c r="E12" s="51" t="s">
        <v>24</v>
      </c>
      <c r="F12" s="51" t="s">
        <v>31</v>
      </c>
      <c r="G12" s="54" t="s">
        <v>91</v>
      </c>
      <c r="H12" s="51" t="s">
        <v>46</v>
      </c>
      <c r="I12" s="51" t="s">
        <v>27</v>
      </c>
      <c r="J12" s="55" t="s">
        <v>25</v>
      </c>
      <c r="K12" s="50" t="s">
        <v>19</v>
      </c>
      <c r="L12" s="50" t="s">
        <v>26</v>
      </c>
      <c r="M12" s="50" t="s">
        <v>14</v>
      </c>
      <c r="N12" s="50" t="s">
        <v>28</v>
      </c>
      <c r="O12" s="50" t="s">
        <v>15</v>
      </c>
      <c r="P12" s="56" t="s">
        <v>29</v>
      </c>
      <c r="Q12" s="57" t="s">
        <v>48</v>
      </c>
      <c r="R12" s="50" t="s">
        <v>49</v>
      </c>
      <c r="S12" s="50" t="s">
        <v>50</v>
      </c>
      <c r="T12" s="50" t="s">
        <v>51</v>
      </c>
      <c r="U12" s="56" t="s">
        <v>42</v>
      </c>
      <c r="V12" s="57" t="s">
        <v>48</v>
      </c>
      <c r="W12" s="50" t="s">
        <v>49</v>
      </c>
      <c r="X12" s="50" t="s">
        <v>50</v>
      </c>
      <c r="Y12" s="50" t="s">
        <v>51</v>
      </c>
      <c r="Z12" s="56" t="s">
        <v>42</v>
      </c>
    </row>
    <row r="13" spans="1:26" s="121" customFormat="1" ht="10" x14ac:dyDescent="0.25">
      <c r="A13" s="22" t="s">
        <v>156</v>
      </c>
      <c r="B13" s="22" t="s">
        <v>156</v>
      </c>
      <c r="C13" s="22" t="s">
        <v>158</v>
      </c>
      <c r="D13" s="24">
        <v>-1</v>
      </c>
      <c r="E13" s="22" t="s">
        <v>160</v>
      </c>
      <c r="F13" s="22" t="s">
        <v>98</v>
      </c>
      <c r="G13" s="22"/>
      <c r="H13" s="22"/>
      <c r="I13" s="22"/>
      <c r="J13" s="32" t="s">
        <v>16</v>
      </c>
      <c r="K13" s="33"/>
      <c r="L13" s="33"/>
      <c r="M13" s="33" t="s">
        <v>18</v>
      </c>
      <c r="N13" s="33"/>
      <c r="O13" s="33" t="s">
        <v>17</v>
      </c>
      <c r="P13" s="130"/>
      <c r="Q13" s="34" t="s">
        <v>33</v>
      </c>
      <c r="R13" s="35"/>
      <c r="S13" s="33"/>
      <c r="T13" s="78"/>
      <c r="U13" s="36"/>
      <c r="V13" s="34" t="s">
        <v>33</v>
      </c>
      <c r="W13" s="35"/>
      <c r="X13" s="33" t="s">
        <v>180</v>
      </c>
      <c r="Y13" s="78"/>
      <c r="Z13" s="36"/>
    </row>
    <row r="14" spans="1:26" s="6" customFormat="1" ht="10" x14ac:dyDescent="0.25">
      <c r="A14" s="22" t="s">
        <v>157</v>
      </c>
      <c r="B14" s="22" t="str">
        <f>A14</f>
        <v>CustomerID</v>
      </c>
      <c r="C14" s="22" t="s">
        <v>159</v>
      </c>
      <c r="E14" s="24" t="s">
        <v>160</v>
      </c>
      <c r="F14" s="22" t="s">
        <v>98</v>
      </c>
      <c r="G14" s="22"/>
      <c r="H14" s="22"/>
      <c r="I14" s="22"/>
      <c r="J14" s="32" t="s">
        <v>16</v>
      </c>
      <c r="K14" s="33">
        <v>5</v>
      </c>
      <c r="L14" s="33"/>
      <c r="M14" s="33" t="s">
        <v>41</v>
      </c>
      <c r="N14" s="33"/>
      <c r="O14" s="33" t="s">
        <v>17</v>
      </c>
      <c r="P14" s="130"/>
      <c r="Q14" s="34" t="s">
        <v>176</v>
      </c>
      <c r="R14" s="35" t="s">
        <v>162</v>
      </c>
      <c r="S14" s="33" t="s">
        <v>177</v>
      </c>
      <c r="T14" s="35" t="s">
        <v>347</v>
      </c>
      <c r="U14" s="36" t="s">
        <v>16</v>
      </c>
      <c r="V14" s="34" t="s">
        <v>179</v>
      </c>
      <c r="W14" s="35" t="s">
        <v>162</v>
      </c>
      <c r="X14" s="33" t="s">
        <v>180</v>
      </c>
      <c r="Y14" s="35" t="s">
        <v>344</v>
      </c>
      <c r="Z14" s="36" t="s">
        <v>16</v>
      </c>
    </row>
    <row r="15" spans="1:26" s="6" customFormat="1" ht="10" x14ac:dyDescent="0.25">
      <c r="A15" s="22" t="s">
        <v>197</v>
      </c>
      <c r="B15" s="22" t="str">
        <f t="shared" ref="B15:B18" si="0">A15</f>
        <v>customer_email</v>
      </c>
      <c r="C15" s="22" t="s">
        <v>191</v>
      </c>
      <c r="E15" s="24" t="s">
        <v>194</v>
      </c>
      <c r="F15" s="22">
        <v>2</v>
      </c>
      <c r="G15" s="22"/>
      <c r="H15" s="22"/>
      <c r="I15" s="22"/>
      <c r="J15" s="32" t="s">
        <v>87</v>
      </c>
      <c r="K15" s="33">
        <v>40</v>
      </c>
      <c r="L15" s="33"/>
      <c r="M15" s="33"/>
      <c r="N15" s="33"/>
      <c r="O15" s="33" t="s">
        <v>17</v>
      </c>
      <c r="P15" s="130"/>
      <c r="Q15" s="34" t="s">
        <v>176</v>
      </c>
      <c r="R15" s="35" t="s">
        <v>162</v>
      </c>
      <c r="S15" s="33" t="s">
        <v>177</v>
      </c>
      <c r="T15" s="35" t="s">
        <v>348</v>
      </c>
      <c r="U15" s="36" t="s">
        <v>87</v>
      </c>
      <c r="V15" s="34" t="s">
        <v>179</v>
      </c>
      <c r="W15" s="35" t="s">
        <v>162</v>
      </c>
      <c r="X15" s="33" t="s">
        <v>180</v>
      </c>
      <c r="Y15" s="35" t="s">
        <v>345</v>
      </c>
      <c r="Z15" s="36" t="s">
        <v>87</v>
      </c>
    </row>
    <row r="16" spans="1:26" s="6" customFormat="1" ht="20" x14ac:dyDescent="0.25">
      <c r="A16" s="22" t="s">
        <v>198</v>
      </c>
      <c r="B16" s="22" t="str">
        <f t="shared" si="0"/>
        <v>customer_firstname</v>
      </c>
      <c r="C16" s="22" t="s">
        <v>192</v>
      </c>
      <c r="E16" s="24" t="s">
        <v>195</v>
      </c>
      <c r="F16" s="22">
        <v>2</v>
      </c>
      <c r="G16" s="22"/>
      <c r="H16" s="22"/>
      <c r="I16" s="22"/>
      <c r="J16" s="32" t="s">
        <v>87</v>
      </c>
      <c r="K16" s="33">
        <v>30</v>
      </c>
      <c r="L16" s="33"/>
      <c r="M16" s="33"/>
      <c r="N16" s="33"/>
      <c r="O16" s="33" t="s">
        <v>17</v>
      </c>
      <c r="P16" s="130"/>
      <c r="Q16" s="34" t="s">
        <v>176</v>
      </c>
      <c r="R16" s="35" t="s">
        <v>162</v>
      </c>
      <c r="S16" s="33" t="s">
        <v>177</v>
      </c>
      <c r="T16" s="35" t="s">
        <v>349</v>
      </c>
      <c r="U16" s="36" t="s">
        <v>87</v>
      </c>
      <c r="V16" s="34" t="s">
        <v>179</v>
      </c>
      <c r="W16" s="35" t="s">
        <v>162</v>
      </c>
      <c r="X16" s="33" t="s">
        <v>180</v>
      </c>
      <c r="Y16" s="35" t="s">
        <v>346</v>
      </c>
      <c r="Z16" s="36" t="s">
        <v>87</v>
      </c>
    </row>
    <row r="17" spans="1:26" s="121" customFormat="1" ht="20" x14ac:dyDescent="0.25">
      <c r="A17" s="22" t="s">
        <v>199</v>
      </c>
      <c r="B17" s="22" t="str">
        <f t="shared" si="0"/>
        <v>customer_lastname</v>
      </c>
      <c r="C17" s="22" t="s">
        <v>193</v>
      </c>
      <c r="E17" s="24" t="s">
        <v>196</v>
      </c>
      <c r="F17" s="22">
        <v>2</v>
      </c>
      <c r="G17" s="22"/>
      <c r="H17" s="22"/>
      <c r="I17" s="22"/>
      <c r="J17" s="32" t="s">
        <v>87</v>
      </c>
      <c r="K17" s="33">
        <v>30</v>
      </c>
      <c r="L17" s="33"/>
      <c r="M17" s="33"/>
      <c r="N17" s="33"/>
      <c r="O17" s="33" t="s">
        <v>17</v>
      </c>
      <c r="P17" s="130"/>
      <c r="Q17" s="34" t="s">
        <v>176</v>
      </c>
      <c r="R17" s="35" t="s">
        <v>162</v>
      </c>
      <c r="S17" s="33" t="s">
        <v>177</v>
      </c>
      <c r="T17" s="35" t="s">
        <v>350</v>
      </c>
      <c r="U17" s="36" t="s">
        <v>87</v>
      </c>
      <c r="V17" s="34" t="s">
        <v>179</v>
      </c>
      <c r="W17" s="35" t="s">
        <v>162</v>
      </c>
      <c r="X17" s="33" t="s">
        <v>180</v>
      </c>
      <c r="Y17" s="35" t="s">
        <v>343</v>
      </c>
      <c r="Z17" s="36" t="s">
        <v>87</v>
      </c>
    </row>
    <row r="18" spans="1:26" s="6" customFormat="1" ht="10" x14ac:dyDescent="0.25">
      <c r="A18" s="22" t="s">
        <v>200</v>
      </c>
      <c r="B18" s="22" t="str">
        <f t="shared" si="0"/>
        <v>customer_zipcode</v>
      </c>
      <c r="C18" s="22" t="s">
        <v>190</v>
      </c>
      <c r="D18" s="24" t="s">
        <v>161</v>
      </c>
      <c r="E18" s="24">
        <v>43221</v>
      </c>
      <c r="F18" s="22">
        <v>2</v>
      </c>
      <c r="G18" s="22"/>
      <c r="H18" s="22"/>
      <c r="I18" s="22"/>
      <c r="J18" s="32" t="s">
        <v>87</v>
      </c>
      <c r="K18" s="33">
        <v>10</v>
      </c>
      <c r="L18" s="33"/>
      <c r="M18" s="33"/>
      <c r="N18" s="33"/>
      <c r="O18" s="33" t="s">
        <v>17</v>
      </c>
      <c r="P18" s="130"/>
      <c r="Q18" s="34" t="s">
        <v>176</v>
      </c>
      <c r="R18" s="35" t="s">
        <v>162</v>
      </c>
      <c r="S18" s="33" t="s">
        <v>177</v>
      </c>
      <c r="T18" s="35" t="s">
        <v>351</v>
      </c>
      <c r="U18" s="36" t="s">
        <v>87</v>
      </c>
      <c r="V18" s="34" t="s">
        <v>179</v>
      </c>
      <c r="W18" s="35" t="s">
        <v>162</v>
      </c>
      <c r="X18" s="33" t="s">
        <v>180</v>
      </c>
      <c r="Y18" s="35" t="s">
        <v>342</v>
      </c>
      <c r="Z18" s="36" t="s">
        <v>87</v>
      </c>
    </row>
    <row r="19" spans="1:26" s="75" customFormat="1" ht="10" x14ac:dyDescent="0.25">
      <c r="A19" s="75" t="s">
        <v>52</v>
      </c>
      <c r="B19" s="75" t="s">
        <v>70</v>
      </c>
      <c r="C19" s="76" t="s">
        <v>35</v>
      </c>
      <c r="D19" s="75" t="s">
        <v>47</v>
      </c>
      <c r="E19" s="76" t="s">
        <v>39</v>
      </c>
      <c r="F19" s="76" t="s">
        <v>32</v>
      </c>
      <c r="G19" s="76" t="s">
        <v>95</v>
      </c>
      <c r="H19" s="76" t="s">
        <v>101</v>
      </c>
      <c r="I19" s="76"/>
      <c r="J19" s="77" t="s">
        <v>88</v>
      </c>
      <c r="K19" s="78"/>
      <c r="L19" s="78"/>
      <c r="M19" s="78"/>
      <c r="N19" s="78"/>
      <c r="O19" s="78" t="s">
        <v>17</v>
      </c>
      <c r="P19" s="79" t="b">
        <v>1</v>
      </c>
      <c r="Q19" s="80" t="s">
        <v>33</v>
      </c>
      <c r="R19" s="81"/>
      <c r="S19" s="78"/>
      <c r="T19" s="78"/>
      <c r="U19" s="79"/>
      <c r="V19" s="80" t="s">
        <v>33</v>
      </c>
      <c r="W19" s="81"/>
      <c r="X19" s="78"/>
      <c r="Y19" s="78"/>
      <c r="Z19" s="79"/>
    </row>
    <row r="20" spans="1:26" s="75" customFormat="1" ht="10" x14ac:dyDescent="0.25">
      <c r="A20" s="76" t="s">
        <v>53</v>
      </c>
      <c r="B20" s="76" t="s">
        <v>71</v>
      </c>
      <c r="C20" s="76" t="s">
        <v>36</v>
      </c>
      <c r="D20" s="82">
        <v>1</v>
      </c>
      <c r="E20" s="83">
        <v>40567</v>
      </c>
      <c r="F20" s="76" t="s">
        <v>32</v>
      </c>
      <c r="G20" s="76" t="s">
        <v>95</v>
      </c>
      <c r="H20" s="76" t="s">
        <v>101</v>
      </c>
      <c r="I20" s="76"/>
      <c r="J20" s="77" t="s">
        <v>34</v>
      </c>
      <c r="K20" s="78"/>
      <c r="L20" s="78"/>
      <c r="M20" s="78"/>
      <c r="N20" s="78"/>
      <c r="O20" s="78" t="s">
        <v>17</v>
      </c>
      <c r="P20" s="79"/>
      <c r="Q20" s="80" t="s">
        <v>33</v>
      </c>
      <c r="R20" s="81"/>
      <c r="S20" s="78"/>
      <c r="T20" s="78"/>
      <c r="U20" s="79"/>
      <c r="V20" s="80" t="s">
        <v>33</v>
      </c>
      <c r="W20" s="81"/>
      <c r="X20" s="78"/>
      <c r="Y20" s="78"/>
      <c r="Z20" s="79"/>
    </row>
    <row r="21" spans="1:26" s="75" customFormat="1" ht="20" x14ac:dyDescent="0.25">
      <c r="A21" s="76" t="s">
        <v>54</v>
      </c>
      <c r="B21" s="76" t="s">
        <v>72</v>
      </c>
      <c r="C21" s="76" t="s">
        <v>37</v>
      </c>
      <c r="D21" s="82">
        <v>2958465</v>
      </c>
      <c r="E21" s="76" t="s">
        <v>40</v>
      </c>
      <c r="F21" s="76" t="s">
        <v>32</v>
      </c>
      <c r="G21" s="76" t="s">
        <v>95</v>
      </c>
      <c r="H21" s="76" t="s">
        <v>101</v>
      </c>
      <c r="I21" s="76"/>
      <c r="J21" s="77" t="s">
        <v>34</v>
      </c>
      <c r="K21" s="78"/>
      <c r="L21" s="78"/>
      <c r="M21" s="78"/>
      <c r="N21" s="78"/>
      <c r="O21" s="78" t="s">
        <v>17</v>
      </c>
      <c r="P21" s="84">
        <v>2958465</v>
      </c>
      <c r="Q21" s="80" t="s">
        <v>33</v>
      </c>
      <c r="R21" s="81"/>
      <c r="S21" s="78"/>
      <c r="T21" s="78"/>
      <c r="U21" s="79"/>
      <c r="V21" s="80" t="s">
        <v>33</v>
      </c>
      <c r="W21" s="81"/>
      <c r="X21" s="78"/>
      <c r="Y21" s="78"/>
      <c r="Z21" s="79"/>
    </row>
    <row r="22" spans="1:26" s="75" customFormat="1" ht="10" x14ac:dyDescent="0.25">
      <c r="A22" s="76" t="s">
        <v>55</v>
      </c>
      <c r="B22" s="76" t="s">
        <v>73</v>
      </c>
      <c r="C22" s="76" t="s">
        <v>38</v>
      </c>
      <c r="D22" s="75" t="s">
        <v>5</v>
      </c>
      <c r="E22" s="76"/>
      <c r="F22" s="76" t="s">
        <v>32</v>
      </c>
      <c r="G22" s="76" t="s">
        <v>95</v>
      </c>
      <c r="H22" s="76" t="s">
        <v>101</v>
      </c>
      <c r="I22" s="76"/>
      <c r="J22" s="77" t="s">
        <v>87</v>
      </c>
      <c r="K22" s="78">
        <v>200</v>
      </c>
      <c r="L22" s="78"/>
      <c r="M22" s="78"/>
      <c r="N22" s="78"/>
      <c r="O22" s="78" t="s">
        <v>17</v>
      </c>
      <c r="P22" s="79"/>
      <c r="Q22" s="80" t="s">
        <v>33</v>
      </c>
      <c r="R22" s="78"/>
      <c r="S22" s="78"/>
      <c r="T22" s="85"/>
      <c r="U22" s="79"/>
      <c r="V22" s="80" t="s">
        <v>33</v>
      </c>
      <c r="W22" s="78"/>
      <c r="X22" s="78"/>
      <c r="Y22" s="85"/>
      <c r="Z22" s="79"/>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AB92B055-42CE-476A-9BF9-D6559CC2F8E4}">
      <formula1>"Dimension, Fact, Audit"</formula1>
    </dataValidation>
    <dataValidation type="list" allowBlank="1" showInputMessage="1" showErrorMessage="1" sqref="B9" xr:uid="{3880FA4C-B689-42F8-B727-0F8A28CB7353}">
      <formula1>"Y, N"</formula1>
    </dataValidation>
  </dataValidations>
  <pageMargins left="0.17" right="0.25" top="0.33" bottom="0.35" header="0.22" footer="0.16"/>
  <pageSetup scale="36"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6C0F7-CD8A-4654-A040-CCF1A4AE2883}">
  <sheetPr codeName="Sheet32">
    <tabColor theme="9" tint="0.79998168889431442"/>
    <pageSetUpPr fitToPage="1"/>
  </sheetPr>
  <dimension ref="A1:Z30"/>
  <sheetViews>
    <sheetView tabSelected="1" zoomScaleNormal="100" zoomScaleSheetLayoutView="100" workbookViewId="0">
      <pane xSplit="2" ySplit="12" topLeftCell="P14" activePane="bottomRight" state="frozenSplit"/>
      <selection pane="topRight" activeCell="C1" sqref="C1"/>
      <selection pane="bottomLeft" activeCell="A13" sqref="A13"/>
      <selection pane="bottomRight" activeCell="P15" sqref="P15"/>
    </sheetView>
  </sheetViews>
  <sheetFormatPr defaultColWidth="9.26953125" defaultRowHeight="12.5" x14ac:dyDescent="0.25"/>
  <cols>
    <col min="1" max="1" width="20.453125" style="9" customWidth="1"/>
    <col min="2" max="2" width="18.54296875" style="9" customWidth="1"/>
    <col min="3" max="3" width="32.54296875" style="9" customWidth="1"/>
    <col min="4" max="4" width="9.7265625" style="9" hidden="1" customWidth="1"/>
    <col min="5" max="5" width="18.7265625" style="7" customWidth="1"/>
    <col min="6" max="6" width="4.453125" style="7" hidden="1" customWidth="1"/>
    <col min="7" max="7" width="14" style="9" bestFit="1" customWidth="1"/>
    <col min="8" max="8" width="30.26953125" style="9" customWidth="1"/>
    <col min="9" max="9" width="37" style="9" customWidth="1"/>
    <col min="10" max="10" width="9.453125" style="9" customWidth="1"/>
    <col min="11" max="11" width="6.26953125" style="9" customWidth="1"/>
    <col min="12" max="12" width="7.26953125" style="9" customWidth="1"/>
    <col min="13" max="13" width="5.453125" style="9" bestFit="1" customWidth="1"/>
    <col min="14" max="14" width="13.7265625" style="9" bestFit="1" customWidth="1"/>
    <col min="15" max="15" width="5.7265625" style="9" customWidth="1"/>
    <col min="16" max="17" width="10.54296875" style="9" customWidth="1"/>
    <col min="18" max="18" width="12" style="9" bestFit="1" customWidth="1"/>
    <col min="19" max="19" width="13.7265625" style="9" bestFit="1" customWidth="1"/>
    <col min="20" max="20" width="14.7265625" style="9" bestFit="1" customWidth="1"/>
    <col min="21" max="21" width="10.26953125" style="9" customWidth="1"/>
    <col min="22" max="22" width="10.1796875" style="9" bestFit="1" customWidth="1"/>
    <col min="23" max="24" width="11" style="9" bestFit="1" customWidth="1"/>
    <col min="25" max="25" width="13.1796875" style="9" bestFit="1" customWidth="1"/>
    <col min="26" max="16384" width="9.26953125" style="9"/>
  </cols>
  <sheetData>
    <row r="1" spans="1:26" s="10" customFormat="1" ht="17.5" x14ac:dyDescent="0.35">
      <c r="A1" s="38" t="s">
        <v>12</v>
      </c>
      <c r="B1" s="8" t="s">
        <v>252</v>
      </c>
      <c r="C1" s="11"/>
      <c r="E1" s="4"/>
      <c r="F1" s="4"/>
      <c r="G1" s="11"/>
    </row>
    <row r="2" spans="1:26" s="11" customFormat="1" x14ac:dyDescent="0.25">
      <c r="A2" s="39" t="s">
        <v>10</v>
      </c>
      <c r="B2" s="23" t="s">
        <v>21</v>
      </c>
      <c r="E2" s="2"/>
      <c r="F2" s="2"/>
    </row>
    <row r="3" spans="1:26" x14ac:dyDescent="0.25">
      <c r="A3" s="40" t="s">
        <v>61</v>
      </c>
      <c r="B3" s="19" t="s">
        <v>252</v>
      </c>
    </row>
    <row r="4" spans="1:26" x14ac:dyDescent="0.25">
      <c r="A4" s="40" t="s">
        <v>80</v>
      </c>
      <c r="B4" s="19" t="s">
        <v>201</v>
      </c>
    </row>
    <row r="5" spans="1:26" s="11" customFormat="1" x14ac:dyDescent="0.25">
      <c r="A5" s="39" t="s">
        <v>81</v>
      </c>
      <c r="B5" s="19" t="s">
        <v>253</v>
      </c>
      <c r="E5" s="2"/>
      <c r="F5" s="2"/>
      <c r="H5" s="9"/>
    </row>
    <row r="6" spans="1:26" s="11" customFormat="1" ht="25" x14ac:dyDescent="0.25">
      <c r="A6" s="39" t="s">
        <v>92</v>
      </c>
      <c r="B6" s="131" t="s">
        <v>183</v>
      </c>
      <c r="E6" s="2"/>
      <c r="F6" s="2"/>
    </row>
    <row r="7" spans="1:26" s="11" customFormat="1" x14ac:dyDescent="0.25">
      <c r="A7" s="41" t="s">
        <v>93</v>
      </c>
      <c r="B7" s="9"/>
      <c r="E7" s="2"/>
      <c r="F7" s="2"/>
    </row>
    <row r="8" spans="1:26" s="11" customFormat="1" x14ac:dyDescent="0.25">
      <c r="A8" s="41" t="s">
        <v>19</v>
      </c>
      <c r="B8" s="19" t="s">
        <v>207</v>
      </c>
      <c r="E8" s="2"/>
      <c r="F8" s="2"/>
    </row>
    <row r="9" spans="1:26" s="11" customFormat="1" x14ac:dyDescent="0.25">
      <c r="A9" s="39" t="s">
        <v>82</v>
      </c>
      <c r="B9" s="37" t="s">
        <v>17</v>
      </c>
      <c r="C9" s="20"/>
      <c r="E9" s="2"/>
      <c r="F9" s="2"/>
      <c r="G9" s="20"/>
    </row>
    <row r="11" spans="1:26" s="25" customFormat="1" ht="13.5" customHeight="1" x14ac:dyDescent="0.25">
      <c r="A11" s="42"/>
      <c r="B11" s="42"/>
      <c r="C11" s="42"/>
      <c r="D11" s="42"/>
      <c r="E11" s="43"/>
      <c r="F11" s="43"/>
      <c r="G11" s="42"/>
      <c r="H11" s="44"/>
      <c r="I11" s="45"/>
      <c r="J11" s="148" t="s">
        <v>22</v>
      </c>
      <c r="K11" s="149"/>
      <c r="L11" s="149"/>
      <c r="M11" s="149"/>
      <c r="N11" s="149"/>
      <c r="O11" s="149"/>
      <c r="P11" s="150"/>
      <c r="Q11" s="151" t="s">
        <v>23</v>
      </c>
      <c r="R11" s="152"/>
      <c r="S11" s="152"/>
      <c r="T11" s="152"/>
      <c r="U11" s="153"/>
      <c r="V11" s="151" t="s">
        <v>23</v>
      </c>
      <c r="W11" s="152"/>
      <c r="X11" s="152"/>
      <c r="Y11" s="152"/>
      <c r="Z11" s="153"/>
    </row>
    <row r="12" spans="1:26" s="25" customFormat="1" ht="23.25" customHeight="1" x14ac:dyDescent="0.25">
      <c r="A12" s="43" t="s">
        <v>13</v>
      </c>
      <c r="B12" s="43" t="s">
        <v>61</v>
      </c>
      <c r="C12" s="43" t="s">
        <v>20</v>
      </c>
      <c r="D12" s="43" t="s">
        <v>4</v>
      </c>
      <c r="E12" s="43" t="s">
        <v>24</v>
      </c>
      <c r="F12" s="43" t="s">
        <v>31</v>
      </c>
      <c r="G12" s="46" t="s">
        <v>91</v>
      </c>
      <c r="H12" s="43" t="s">
        <v>46</v>
      </c>
      <c r="I12" s="43" t="s">
        <v>27</v>
      </c>
      <c r="J12" s="47" t="s">
        <v>25</v>
      </c>
      <c r="K12" s="42" t="s">
        <v>19</v>
      </c>
      <c r="L12" s="42" t="s">
        <v>26</v>
      </c>
      <c r="M12" s="42" t="s">
        <v>14</v>
      </c>
      <c r="N12" s="42" t="s">
        <v>28</v>
      </c>
      <c r="O12" s="42" t="s">
        <v>15</v>
      </c>
      <c r="P12" s="48" t="s">
        <v>29</v>
      </c>
      <c r="Q12" s="49" t="s">
        <v>48</v>
      </c>
      <c r="R12" s="42" t="s">
        <v>49</v>
      </c>
      <c r="S12" s="42" t="s">
        <v>50</v>
      </c>
      <c r="T12" s="42" t="s">
        <v>51</v>
      </c>
      <c r="U12" s="48" t="s">
        <v>42</v>
      </c>
      <c r="V12" s="49" t="s">
        <v>48</v>
      </c>
      <c r="W12" s="42" t="s">
        <v>49</v>
      </c>
      <c r="X12" s="42" t="s">
        <v>50</v>
      </c>
      <c r="Y12" s="42" t="s">
        <v>51</v>
      </c>
      <c r="Z12" s="48" t="s">
        <v>42</v>
      </c>
    </row>
    <row r="13" spans="1:26" s="6" customFormat="1" ht="10" x14ac:dyDescent="0.25">
      <c r="A13" s="22" t="s">
        <v>165</v>
      </c>
      <c r="B13" s="5" t="str">
        <f>A13</f>
        <v>ProductKey</v>
      </c>
      <c r="C13" s="22" t="s">
        <v>185</v>
      </c>
      <c r="E13" s="5" t="s">
        <v>9</v>
      </c>
      <c r="F13" s="5"/>
      <c r="G13" s="22" t="s">
        <v>98</v>
      </c>
      <c r="H13" s="22" t="s">
        <v>181</v>
      </c>
      <c r="I13" s="5"/>
      <c r="J13" s="32" t="s">
        <v>16</v>
      </c>
      <c r="K13" s="30"/>
      <c r="L13" s="30"/>
      <c r="M13" s="33" t="s">
        <v>172</v>
      </c>
      <c r="N13" s="33" t="s">
        <v>170</v>
      </c>
      <c r="O13" s="30" t="s">
        <v>17</v>
      </c>
      <c r="P13" s="31"/>
      <c r="Q13" s="34" t="s">
        <v>179</v>
      </c>
      <c r="R13" s="35" t="s">
        <v>162</v>
      </c>
      <c r="S13" s="33" t="s">
        <v>178</v>
      </c>
      <c r="T13" s="35" t="s">
        <v>165</v>
      </c>
      <c r="U13" s="36" t="str">
        <f>J13</f>
        <v>int</v>
      </c>
      <c r="V13" s="34" t="s">
        <v>179</v>
      </c>
      <c r="W13" s="35" t="s">
        <v>162</v>
      </c>
      <c r="X13" s="33" t="s">
        <v>180</v>
      </c>
      <c r="Y13" s="35" t="s">
        <v>205</v>
      </c>
      <c r="Z13" s="36" t="s">
        <v>16</v>
      </c>
    </row>
    <row r="14" spans="1:26" s="6" customFormat="1" ht="10" x14ac:dyDescent="0.25">
      <c r="A14" s="22" t="s">
        <v>156</v>
      </c>
      <c r="B14" s="5" t="str">
        <f t="shared" ref="B14:B20" si="0">A14</f>
        <v>CustomerKey</v>
      </c>
      <c r="C14" s="22" t="s">
        <v>184</v>
      </c>
      <c r="E14" s="22" t="s">
        <v>9</v>
      </c>
      <c r="F14" s="5"/>
      <c r="G14" s="22" t="s">
        <v>98</v>
      </c>
      <c r="H14" s="22" t="s">
        <v>182</v>
      </c>
      <c r="I14" s="5"/>
      <c r="J14" s="32" t="s">
        <v>16</v>
      </c>
      <c r="K14" s="30"/>
      <c r="L14" s="30"/>
      <c r="M14" s="33" t="s">
        <v>41</v>
      </c>
      <c r="N14" s="33" t="s">
        <v>175</v>
      </c>
      <c r="O14" s="30" t="s">
        <v>17</v>
      </c>
      <c r="P14" s="31"/>
      <c r="Q14" s="34"/>
      <c r="R14" s="35"/>
      <c r="S14" s="33"/>
      <c r="T14" s="35"/>
      <c r="U14" s="36"/>
      <c r="V14" s="34"/>
      <c r="W14" s="35"/>
      <c r="X14" s="33"/>
      <c r="Y14" s="35"/>
      <c r="Z14" s="36"/>
    </row>
    <row r="15" spans="1:26" s="6" customFormat="1" ht="10" x14ac:dyDescent="0.25">
      <c r="A15" s="22" t="s">
        <v>165</v>
      </c>
      <c r="B15" s="5" t="str">
        <f>A15</f>
        <v>ProductKey</v>
      </c>
      <c r="C15" s="22" t="s">
        <v>208</v>
      </c>
      <c r="E15" s="22" t="str">
        <f>E14</f>
        <v>1, 2, 3</v>
      </c>
      <c r="F15" s="5"/>
      <c r="G15" s="22" t="s">
        <v>98</v>
      </c>
      <c r="H15" s="22" t="s">
        <v>254</v>
      </c>
      <c r="I15" s="5"/>
      <c r="J15" s="32" t="s">
        <v>16</v>
      </c>
      <c r="K15" s="30"/>
      <c r="L15" s="30"/>
      <c r="M15" s="33" t="s">
        <v>41</v>
      </c>
      <c r="N15" s="33" t="s">
        <v>170</v>
      </c>
      <c r="O15" s="33" t="s">
        <v>17</v>
      </c>
      <c r="P15" s="31"/>
      <c r="Q15" s="34"/>
      <c r="R15" s="35"/>
      <c r="S15" s="33"/>
      <c r="T15" s="35"/>
      <c r="U15" s="36"/>
      <c r="V15" s="34"/>
      <c r="W15" s="35"/>
      <c r="X15" s="33"/>
      <c r="Y15" s="35"/>
      <c r="Z15" s="36"/>
    </row>
    <row r="16" spans="1:26" s="6" customFormat="1" ht="10" x14ac:dyDescent="0.25">
      <c r="A16" s="24" t="s">
        <v>353</v>
      </c>
      <c r="B16" s="5" t="str">
        <f t="shared" si="0"/>
        <v>ReviewDateKey</v>
      </c>
      <c r="C16" s="22" t="s">
        <v>354</v>
      </c>
      <c r="D16" s="24"/>
      <c r="E16" s="22">
        <v>20120108</v>
      </c>
      <c r="F16" s="5"/>
      <c r="G16" s="22" t="s">
        <v>98</v>
      </c>
      <c r="H16" s="22" t="s">
        <v>169</v>
      </c>
      <c r="I16" s="5"/>
      <c r="J16" s="32" t="s">
        <v>16</v>
      </c>
      <c r="K16" s="30"/>
      <c r="L16" s="30"/>
      <c r="M16" s="33" t="s">
        <v>41</v>
      </c>
      <c r="N16" s="33" t="s">
        <v>171</v>
      </c>
      <c r="O16" s="30" t="s">
        <v>17</v>
      </c>
      <c r="P16" s="31"/>
      <c r="Q16" s="34"/>
      <c r="R16" s="35"/>
      <c r="S16" s="33"/>
      <c r="T16" s="33"/>
      <c r="U16" s="36"/>
      <c r="V16" s="34"/>
      <c r="W16" s="35"/>
      <c r="X16" s="33"/>
      <c r="Y16" s="33"/>
      <c r="Z16" s="36"/>
    </row>
    <row r="17" spans="1:26" ht="20" x14ac:dyDescent="0.25">
      <c r="A17" s="19" t="s">
        <v>187</v>
      </c>
      <c r="B17" s="5" t="str">
        <f t="shared" si="0"/>
        <v>product_name</v>
      </c>
      <c r="C17" s="19" t="s">
        <v>209</v>
      </c>
      <c r="E17" s="134"/>
      <c r="J17" s="32" t="s">
        <v>87</v>
      </c>
      <c r="K17" s="30">
        <v>25</v>
      </c>
      <c r="L17" s="30">
        <v>4</v>
      </c>
      <c r="M17" s="30"/>
      <c r="N17" s="33"/>
      <c r="O17" s="33" t="s">
        <v>17</v>
      </c>
      <c r="P17" s="31"/>
      <c r="Q17" s="34" t="s">
        <v>176</v>
      </c>
      <c r="R17" s="33" t="s">
        <v>162</v>
      </c>
      <c r="S17" s="33" t="s">
        <v>173</v>
      </c>
      <c r="T17" s="133" t="s">
        <v>187</v>
      </c>
      <c r="U17" s="36" t="s">
        <v>87</v>
      </c>
      <c r="V17" s="34" t="s">
        <v>179</v>
      </c>
      <c r="W17" s="33" t="s">
        <v>162</v>
      </c>
      <c r="X17" s="33" t="s">
        <v>206</v>
      </c>
      <c r="Y17" s="133" t="s">
        <v>203</v>
      </c>
      <c r="Z17" s="36" t="s">
        <v>87</v>
      </c>
    </row>
    <row r="18" spans="1:26" ht="20" x14ac:dyDescent="0.25">
      <c r="A18" s="19" t="s">
        <v>286</v>
      </c>
      <c r="B18" s="5" t="str">
        <f t="shared" si="0"/>
        <v>customer_rating</v>
      </c>
      <c r="C18" s="19" t="s">
        <v>210</v>
      </c>
      <c r="E18" s="134"/>
      <c r="J18" s="32" t="s">
        <v>16</v>
      </c>
      <c r="K18" s="30">
        <v>25</v>
      </c>
      <c r="L18" s="30">
        <v>4</v>
      </c>
      <c r="M18" s="30"/>
      <c r="N18" s="33"/>
      <c r="O18" s="33" t="s">
        <v>17</v>
      </c>
      <c r="P18" s="31"/>
      <c r="Q18" s="34" t="s">
        <v>176</v>
      </c>
      <c r="R18" s="33" t="s">
        <v>162</v>
      </c>
      <c r="S18" s="33" t="s">
        <v>255</v>
      </c>
      <c r="T18" s="133" t="s">
        <v>256</v>
      </c>
      <c r="U18" s="36" t="s">
        <v>16</v>
      </c>
      <c r="V18" s="34" t="s">
        <v>179</v>
      </c>
      <c r="W18" s="33" t="s">
        <v>162</v>
      </c>
      <c r="X18" s="33" t="s">
        <v>211</v>
      </c>
      <c r="Y18" s="133" t="s">
        <v>212</v>
      </c>
      <c r="Z18" s="36" t="s">
        <v>16</v>
      </c>
    </row>
    <row r="19" spans="1:26" ht="20" x14ac:dyDescent="0.25">
      <c r="A19" s="19" t="s">
        <v>287</v>
      </c>
      <c r="B19" s="5" t="str">
        <f t="shared" si="0"/>
        <v>product_type</v>
      </c>
      <c r="C19" s="19" t="s">
        <v>269</v>
      </c>
      <c r="D19" s="9" t="s">
        <v>174</v>
      </c>
      <c r="F19" s="7">
        <v>2</v>
      </c>
      <c r="J19" s="19" t="s">
        <v>87</v>
      </c>
      <c r="K19" s="9">
        <v>25</v>
      </c>
      <c r="N19" s="135"/>
      <c r="O19" s="9" t="s">
        <v>17</v>
      </c>
      <c r="P19" s="9">
        <v>0</v>
      </c>
      <c r="Q19" s="34" t="s">
        <v>176</v>
      </c>
      <c r="R19" s="9" t="s">
        <v>162</v>
      </c>
      <c r="S19" s="19" t="s">
        <v>173</v>
      </c>
      <c r="T19" s="19" t="s">
        <v>188</v>
      </c>
      <c r="U19" s="19" t="s">
        <v>87</v>
      </c>
      <c r="V19" s="19" t="s">
        <v>179</v>
      </c>
      <c r="W19" s="9" t="s">
        <v>162</v>
      </c>
      <c r="X19" s="19" t="s">
        <v>206</v>
      </c>
      <c r="Y19" s="19" t="s">
        <v>204</v>
      </c>
      <c r="Z19" s="19" t="s">
        <v>87</v>
      </c>
    </row>
    <row r="20" spans="1:26" x14ac:dyDescent="0.25">
      <c r="A20" s="9" t="s">
        <v>288</v>
      </c>
      <c r="B20" s="9" t="str">
        <f t="shared" si="0"/>
        <v>origin_database</v>
      </c>
      <c r="C20" s="9" t="s">
        <v>289</v>
      </c>
      <c r="Q20" s="9" t="s">
        <v>290</v>
      </c>
      <c r="R20" s="9" t="s">
        <v>162</v>
      </c>
      <c r="U20" s="9" t="s">
        <v>87</v>
      </c>
      <c r="V20" s="9" t="s">
        <v>290</v>
      </c>
      <c r="W20" s="9" t="s">
        <v>162</v>
      </c>
      <c r="Z20" s="9" t="s">
        <v>87</v>
      </c>
    </row>
    <row r="30" spans="1:26" x14ac:dyDescent="0.25">
      <c r="L30" s="19" t="s">
        <v>94</v>
      </c>
    </row>
  </sheetData>
  <dataConsolidate/>
  <mergeCells count="3">
    <mergeCell ref="J11:P11"/>
    <mergeCell ref="Q11:U11"/>
    <mergeCell ref="V11:Z11"/>
  </mergeCells>
  <phoneticPr fontId="2" type="noConversion"/>
  <dataValidations count="2">
    <dataValidation type="list" allowBlank="1" showInputMessage="1" showErrorMessage="1" sqref="B9" xr:uid="{A1E2C8FC-E47F-47CE-B4FA-57AA2042459C}">
      <formula1>"Y, N"</formula1>
    </dataValidation>
    <dataValidation type="list" allowBlank="1" showInputMessage="1" showErrorMessage="1" promptTitle="Table Type" prompt="Dimension, Fact, or Audit" sqref="B2" xr:uid="{BA8B3D42-4E10-41E8-B085-750FA2C8B213}">
      <formula1>"Dimension, Fact, Audit"</formula1>
    </dataValidation>
  </dataValidations>
  <pageMargins left="0.17" right="0.25" top="0.33" bottom="0.35" header="0.22" footer="0.16"/>
  <pageSetup scale="40"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CAB85-AD95-441B-9B0B-B0A970194148}">
  <dimension ref="A1:A187"/>
  <sheetViews>
    <sheetView topLeftCell="A61" workbookViewId="0">
      <selection activeCell="G103" sqref="G103"/>
    </sheetView>
  </sheetViews>
  <sheetFormatPr defaultRowHeight="12.5" x14ac:dyDescent="0.25"/>
  <sheetData>
    <row r="1" spans="1:1" x14ac:dyDescent="0.25">
      <c r="A1" t="s">
        <v>274</v>
      </c>
    </row>
    <row r="2" spans="1:1" x14ac:dyDescent="0.25">
      <c r="A2" t="s">
        <v>213</v>
      </c>
    </row>
    <row r="3" spans="1:1" x14ac:dyDescent="0.25">
      <c r="A3" t="s">
        <v>214</v>
      </c>
    </row>
    <row r="4" spans="1:1" x14ac:dyDescent="0.25">
      <c r="A4" t="s">
        <v>215</v>
      </c>
    </row>
    <row r="6" spans="1:1" x14ac:dyDescent="0.25">
      <c r="A6" t="s">
        <v>216</v>
      </c>
    </row>
    <row r="7" spans="1:1" x14ac:dyDescent="0.25">
      <c r="A7" t="s">
        <v>217</v>
      </c>
    </row>
    <row r="8" spans="1:1" x14ac:dyDescent="0.25">
      <c r="A8" t="s">
        <v>218</v>
      </c>
    </row>
    <row r="9" spans="1:1" x14ac:dyDescent="0.25">
      <c r="A9" t="s">
        <v>219</v>
      </c>
    </row>
    <row r="10" spans="1:1" x14ac:dyDescent="0.25">
      <c r="A10" t="s">
        <v>220</v>
      </c>
    </row>
    <row r="11" spans="1:1" x14ac:dyDescent="0.25">
      <c r="A11" t="s">
        <v>221</v>
      </c>
    </row>
    <row r="13" spans="1:1" x14ac:dyDescent="0.25">
      <c r="A13" t="s">
        <v>222</v>
      </c>
    </row>
    <row r="14" spans="1:1" x14ac:dyDescent="0.25">
      <c r="A14" t="s">
        <v>223</v>
      </c>
    </row>
    <row r="15" spans="1:1" x14ac:dyDescent="0.25">
      <c r="A15" t="s">
        <v>213</v>
      </c>
    </row>
    <row r="16" spans="1:1" x14ac:dyDescent="0.25">
      <c r="A16" t="s">
        <v>270</v>
      </c>
    </row>
    <row r="17" spans="1:1" x14ac:dyDescent="0.25">
      <c r="A17" t="s">
        <v>224</v>
      </c>
    </row>
    <row r="18" spans="1:1" x14ac:dyDescent="0.25">
      <c r="A18" t="s">
        <v>271</v>
      </c>
    </row>
    <row r="19" spans="1:1" x14ac:dyDescent="0.25">
      <c r="A19" t="s">
        <v>224</v>
      </c>
    </row>
    <row r="20" spans="1:1" x14ac:dyDescent="0.25">
      <c r="A20" t="s">
        <v>272</v>
      </c>
    </row>
    <row r="21" spans="1:1" x14ac:dyDescent="0.25">
      <c r="A21" t="s">
        <v>225</v>
      </c>
    </row>
    <row r="22" spans="1:1" x14ac:dyDescent="0.25">
      <c r="A22" t="s">
        <v>224</v>
      </c>
    </row>
    <row r="23" spans="1:1" x14ac:dyDescent="0.25">
      <c r="A23" t="s">
        <v>223</v>
      </c>
    </row>
    <row r="24" spans="1:1" x14ac:dyDescent="0.25">
      <c r="A24" t="s">
        <v>273</v>
      </c>
    </row>
    <row r="25" spans="1:1" x14ac:dyDescent="0.25">
      <c r="A25" t="s">
        <v>226</v>
      </c>
    </row>
    <row r="26" spans="1:1" x14ac:dyDescent="0.25">
      <c r="A26" t="s">
        <v>227</v>
      </c>
    </row>
    <row r="27" spans="1:1" x14ac:dyDescent="0.25">
      <c r="A27" t="s">
        <v>228</v>
      </c>
    </row>
    <row r="28" spans="1:1" x14ac:dyDescent="0.25">
      <c r="A28" t="s">
        <v>229</v>
      </c>
    </row>
    <row r="29" spans="1:1" x14ac:dyDescent="0.25">
      <c r="A29" t="s">
        <v>226</v>
      </c>
    </row>
    <row r="32" spans="1:1" x14ac:dyDescent="0.25">
      <c r="A32" t="s">
        <v>264</v>
      </c>
    </row>
    <row r="33" spans="1:1" x14ac:dyDescent="0.25">
      <c r="A33" t="s">
        <v>265</v>
      </c>
    </row>
    <row r="34" spans="1:1" x14ac:dyDescent="0.25">
      <c r="A34" t="s">
        <v>224</v>
      </c>
    </row>
    <row r="35" spans="1:1" x14ac:dyDescent="0.25">
      <c r="A35" t="s">
        <v>266</v>
      </c>
    </row>
    <row r="36" spans="1:1" x14ac:dyDescent="0.25">
      <c r="A36" t="s">
        <v>224</v>
      </c>
    </row>
    <row r="39" spans="1:1" x14ac:dyDescent="0.25">
      <c r="A39" t="s">
        <v>291</v>
      </c>
    </row>
    <row r="40" spans="1:1" x14ac:dyDescent="0.25">
      <c r="A40" t="s">
        <v>292</v>
      </c>
    </row>
    <row r="41" spans="1:1" x14ac:dyDescent="0.25">
      <c r="A41" t="s">
        <v>306</v>
      </c>
    </row>
    <row r="42" spans="1:1" x14ac:dyDescent="0.25">
      <c r="A42" t="s">
        <v>226</v>
      </c>
    </row>
    <row r="44" spans="1:1" x14ac:dyDescent="0.25">
      <c r="A44" t="s">
        <v>293</v>
      </c>
    </row>
    <row r="45" spans="1:1" x14ac:dyDescent="0.25">
      <c r="A45" t="s">
        <v>294</v>
      </c>
    </row>
    <row r="46" spans="1:1" x14ac:dyDescent="0.25">
      <c r="A46" t="s">
        <v>230</v>
      </c>
    </row>
    <row r="47" spans="1:1" x14ac:dyDescent="0.25">
      <c r="A47" t="s">
        <v>283</v>
      </c>
    </row>
    <row r="48" spans="1:1" x14ac:dyDescent="0.25">
      <c r="A48" t="s">
        <v>231</v>
      </c>
    </row>
    <row r="49" spans="1:1" x14ac:dyDescent="0.25">
      <c r="A49" t="s">
        <v>232</v>
      </c>
    </row>
    <row r="50" spans="1:1" x14ac:dyDescent="0.25">
      <c r="A50" t="s">
        <v>233</v>
      </c>
    </row>
    <row r="51" spans="1:1" x14ac:dyDescent="0.25">
      <c r="A51" t="s">
        <v>234</v>
      </c>
    </row>
    <row r="52" spans="1:1" x14ac:dyDescent="0.25">
      <c r="A52" t="s">
        <v>281</v>
      </c>
    </row>
    <row r="53" spans="1:1" x14ac:dyDescent="0.25">
      <c r="A53" t="s">
        <v>235</v>
      </c>
    </row>
    <row r="54" spans="1:1" x14ac:dyDescent="0.25">
      <c r="A54" t="s">
        <v>236</v>
      </c>
    </row>
    <row r="55" spans="1:1" x14ac:dyDescent="0.25">
      <c r="A55" t="s">
        <v>237</v>
      </c>
    </row>
    <row r="56" spans="1:1" x14ac:dyDescent="0.25">
      <c r="A56" t="s">
        <v>238</v>
      </c>
    </row>
    <row r="57" spans="1:1" x14ac:dyDescent="0.25">
      <c r="A57" t="s">
        <v>239</v>
      </c>
    </row>
    <row r="58" spans="1:1" x14ac:dyDescent="0.25">
      <c r="A58" t="s">
        <v>284</v>
      </c>
    </row>
    <row r="59" spans="1:1" x14ac:dyDescent="0.25">
      <c r="A59" t="s">
        <v>282</v>
      </c>
    </row>
    <row r="60" spans="1:1" x14ac:dyDescent="0.25">
      <c r="A60" t="s">
        <v>295</v>
      </c>
    </row>
    <row r="61" spans="1:1" x14ac:dyDescent="0.25">
      <c r="A61" t="s">
        <v>240</v>
      </c>
    </row>
    <row r="62" spans="1:1" x14ac:dyDescent="0.25">
      <c r="A62" t="s">
        <v>241</v>
      </c>
    </row>
    <row r="63" spans="1:1" x14ac:dyDescent="0.25">
      <c r="A63" t="s">
        <v>226</v>
      </c>
    </row>
    <row r="66" spans="1:1" x14ac:dyDescent="0.25">
      <c r="A66" t="s">
        <v>307</v>
      </c>
    </row>
    <row r="67" spans="1:1" x14ac:dyDescent="0.25">
      <c r="A67" t="s">
        <v>242</v>
      </c>
    </row>
    <row r="68" spans="1:1" x14ac:dyDescent="0.25">
      <c r="A68" t="s">
        <v>226</v>
      </c>
    </row>
    <row r="74" spans="1:1" x14ac:dyDescent="0.25">
      <c r="A74" t="s">
        <v>308</v>
      </c>
    </row>
    <row r="75" spans="1:1" x14ac:dyDescent="0.25">
      <c r="A75" t="s">
        <v>309</v>
      </c>
    </row>
    <row r="76" spans="1:1" x14ac:dyDescent="0.25">
      <c r="A76" t="s">
        <v>310</v>
      </c>
    </row>
    <row r="77" spans="1:1" x14ac:dyDescent="0.25">
      <c r="A77" t="s">
        <v>226</v>
      </c>
    </row>
    <row r="80" spans="1:1" x14ac:dyDescent="0.25">
      <c r="A80" t="s">
        <v>311</v>
      </c>
    </row>
    <row r="81" spans="1:1" x14ac:dyDescent="0.25">
      <c r="A81" t="s">
        <v>312</v>
      </c>
    </row>
    <row r="82" spans="1:1" x14ac:dyDescent="0.25">
      <c r="A82" t="s">
        <v>257</v>
      </c>
    </row>
    <row r="83" spans="1:1" x14ac:dyDescent="0.25">
      <c r="A83" t="s">
        <v>313</v>
      </c>
    </row>
    <row r="84" spans="1:1" x14ac:dyDescent="0.25">
      <c r="A84" t="s">
        <v>314</v>
      </c>
    </row>
    <row r="85" spans="1:1" x14ac:dyDescent="0.25">
      <c r="A85" t="s">
        <v>315</v>
      </c>
    </row>
    <row r="86" spans="1:1" x14ac:dyDescent="0.25">
      <c r="A86" t="s">
        <v>267</v>
      </c>
    </row>
    <row r="87" spans="1:1" x14ac:dyDescent="0.25">
      <c r="A87" t="s">
        <v>275</v>
      </c>
    </row>
    <row r="88" spans="1:1" x14ac:dyDescent="0.25">
      <c r="A88" t="s">
        <v>243</v>
      </c>
    </row>
    <row r="89" spans="1:1" x14ac:dyDescent="0.25">
      <c r="A89" t="s">
        <v>268</v>
      </c>
    </row>
    <row r="90" spans="1:1" x14ac:dyDescent="0.25">
      <c r="A90" t="s">
        <v>316</v>
      </c>
    </row>
    <row r="91" spans="1:1" x14ac:dyDescent="0.25">
      <c r="A91" t="s">
        <v>258</v>
      </c>
    </row>
    <row r="92" spans="1:1" x14ac:dyDescent="0.25">
      <c r="A92" t="s">
        <v>241</v>
      </c>
    </row>
    <row r="93" spans="1:1" x14ac:dyDescent="0.25">
      <c r="A93" t="s">
        <v>226</v>
      </c>
    </row>
    <row r="96" spans="1:1" x14ac:dyDescent="0.25">
      <c r="A96" t="s">
        <v>317</v>
      </c>
    </row>
    <row r="97" spans="1:1" x14ac:dyDescent="0.25">
      <c r="A97" t="s">
        <v>226</v>
      </c>
    </row>
    <row r="98" spans="1:1" x14ac:dyDescent="0.25">
      <c r="A98" t="s">
        <v>318</v>
      </c>
    </row>
    <row r="99" spans="1:1" x14ac:dyDescent="0.25">
      <c r="A99" t="s">
        <v>319</v>
      </c>
    </row>
    <row r="100" spans="1:1" x14ac:dyDescent="0.25">
      <c r="A100" t="s">
        <v>226</v>
      </c>
    </row>
    <row r="101" spans="1:1" x14ac:dyDescent="0.25">
      <c r="A101" t="s">
        <v>320</v>
      </c>
    </row>
    <row r="102" spans="1:1" x14ac:dyDescent="0.25">
      <c r="A102" t="s">
        <v>226</v>
      </c>
    </row>
    <row r="106" spans="1:1" x14ac:dyDescent="0.25">
      <c r="A106" t="s">
        <v>321</v>
      </c>
    </row>
    <row r="107" spans="1:1" x14ac:dyDescent="0.25">
      <c r="A107" t="s">
        <v>322</v>
      </c>
    </row>
    <row r="108" spans="1:1" x14ac:dyDescent="0.25">
      <c r="A108" t="s">
        <v>323</v>
      </c>
    </row>
    <row r="109" spans="1:1" x14ac:dyDescent="0.25">
      <c r="A109" t="s">
        <v>226</v>
      </c>
    </row>
    <row r="111" spans="1:1" x14ac:dyDescent="0.25">
      <c r="A111" t="s">
        <v>324</v>
      </c>
    </row>
    <row r="112" spans="1:1" x14ac:dyDescent="0.25">
      <c r="A112" t="s">
        <v>325</v>
      </c>
    </row>
    <row r="113" spans="1:1" x14ac:dyDescent="0.25">
      <c r="A113" t="s">
        <v>259</v>
      </c>
    </row>
    <row r="114" spans="1:1" x14ac:dyDescent="0.25">
      <c r="A114" t="s">
        <v>276</v>
      </c>
    </row>
    <row r="115" spans="1:1" x14ac:dyDescent="0.25">
      <c r="A115" t="s">
        <v>326</v>
      </c>
    </row>
    <row r="116" spans="1:1" x14ac:dyDescent="0.25">
      <c r="A116" t="s">
        <v>277</v>
      </c>
    </row>
    <row r="117" spans="1:1" x14ac:dyDescent="0.25">
      <c r="A117" t="s">
        <v>278</v>
      </c>
    </row>
    <row r="118" spans="1:1" x14ac:dyDescent="0.25">
      <c r="A118" t="s">
        <v>279</v>
      </c>
    </row>
    <row r="119" spans="1:1" x14ac:dyDescent="0.25">
      <c r="A119" t="s">
        <v>267</v>
      </c>
    </row>
    <row r="120" spans="1:1" x14ac:dyDescent="0.25">
      <c r="A120" t="s">
        <v>275</v>
      </c>
    </row>
    <row r="121" spans="1:1" x14ac:dyDescent="0.25">
      <c r="A121" t="s">
        <v>243</v>
      </c>
    </row>
    <row r="122" spans="1:1" x14ac:dyDescent="0.25">
      <c r="A122" t="s">
        <v>280</v>
      </c>
    </row>
    <row r="123" spans="1:1" x14ac:dyDescent="0.25">
      <c r="A123" t="s">
        <v>327</v>
      </c>
    </row>
    <row r="124" spans="1:1" x14ac:dyDescent="0.25">
      <c r="A124" t="s">
        <v>260</v>
      </c>
    </row>
    <row r="125" spans="1:1" x14ac:dyDescent="0.25">
      <c r="A125" t="s">
        <v>241</v>
      </c>
    </row>
    <row r="126" spans="1:1" x14ac:dyDescent="0.25">
      <c r="A126" t="s">
        <v>226</v>
      </c>
    </row>
    <row r="129" spans="1:1" x14ac:dyDescent="0.25">
      <c r="A129" t="s">
        <v>328</v>
      </c>
    </row>
    <row r="130" spans="1:1" x14ac:dyDescent="0.25">
      <c r="A130" t="s">
        <v>226</v>
      </c>
    </row>
    <row r="131" spans="1:1" x14ac:dyDescent="0.25">
      <c r="A131" t="s">
        <v>329</v>
      </c>
    </row>
    <row r="132" spans="1:1" x14ac:dyDescent="0.25">
      <c r="A132" t="s">
        <v>285</v>
      </c>
    </row>
    <row r="133" spans="1:1" x14ac:dyDescent="0.25">
      <c r="A133" t="s">
        <v>226</v>
      </c>
    </row>
    <row r="134" spans="1:1" x14ac:dyDescent="0.25">
      <c r="A134" t="s">
        <v>330</v>
      </c>
    </row>
    <row r="135" spans="1:1" x14ac:dyDescent="0.25">
      <c r="A135" t="s">
        <v>226</v>
      </c>
    </row>
    <row r="139" spans="1:1" x14ac:dyDescent="0.25">
      <c r="A139" t="s">
        <v>296</v>
      </c>
    </row>
    <row r="140" spans="1:1" x14ac:dyDescent="0.25">
      <c r="A140" t="s">
        <v>297</v>
      </c>
    </row>
    <row r="141" spans="1:1" x14ac:dyDescent="0.25">
      <c r="A141" t="s">
        <v>298</v>
      </c>
    </row>
    <row r="142" spans="1:1" x14ac:dyDescent="0.25">
      <c r="A142" t="s">
        <v>226</v>
      </c>
    </row>
    <row r="144" spans="1:1" x14ac:dyDescent="0.25">
      <c r="A144" t="s">
        <v>299</v>
      </c>
    </row>
    <row r="145" spans="1:1" x14ac:dyDescent="0.25">
      <c r="A145" t="s">
        <v>300</v>
      </c>
    </row>
    <row r="146" spans="1:1" x14ac:dyDescent="0.25">
      <c r="A146" t="s">
        <v>244</v>
      </c>
    </row>
    <row r="147" spans="1:1" x14ac:dyDescent="0.25">
      <c r="A147" t="s">
        <v>261</v>
      </c>
    </row>
    <row r="148" spans="1:1" x14ac:dyDescent="0.25">
      <c r="A148" t="s">
        <v>331</v>
      </c>
    </row>
    <row r="149" spans="1:1" x14ac:dyDescent="0.25">
      <c r="A149" t="s">
        <v>314</v>
      </c>
    </row>
    <row r="150" spans="1:1" x14ac:dyDescent="0.25">
      <c r="A150" t="s">
        <v>332</v>
      </c>
    </row>
    <row r="151" spans="1:1" x14ac:dyDescent="0.25">
      <c r="A151" t="s">
        <v>333</v>
      </c>
    </row>
    <row r="152" spans="1:1" x14ac:dyDescent="0.25">
      <c r="A152" t="s">
        <v>334</v>
      </c>
    </row>
    <row r="153" spans="1:1" x14ac:dyDescent="0.25">
      <c r="A153" t="s">
        <v>301</v>
      </c>
    </row>
    <row r="154" spans="1:1" x14ac:dyDescent="0.25">
      <c r="A154" t="s">
        <v>335</v>
      </c>
    </row>
    <row r="155" spans="1:1" x14ac:dyDescent="0.25">
      <c r="A155" t="s">
        <v>241</v>
      </c>
    </row>
    <row r="156" spans="1:1" x14ac:dyDescent="0.25">
      <c r="A156" t="s">
        <v>226</v>
      </c>
    </row>
    <row r="158" spans="1:1" x14ac:dyDescent="0.25">
      <c r="A158" t="s">
        <v>94</v>
      </c>
    </row>
    <row r="159" spans="1:1" x14ac:dyDescent="0.25">
      <c r="A159" t="s">
        <v>302</v>
      </c>
    </row>
    <row r="160" spans="1:1" x14ac:dyDescent="0.25">
      <c r="A160" t="s">
        <v>303</v>
      </c>
    </row>
    <row r="161" spans="1:1" x14ac:dyDescent="0.25">
      <c r="A161" t="s">
        <v>245</v>
      </c>
    </row>
    <row r="162" spans="1:1" x14ac:dyDescent="0.25">
      <c r="A162" t="s">
        <v>262</v>
      </c>
    </row>
    <row r="163" spans="1:1" x14ac:dyDescent="0.25">
      <c r="A163" t="s">
        <v>336</v>
      </c>
    </row>
    <row r="164" spans="1:1" x14ac:dyDescent="0.25">
      <c r="A164" t="s">
        <v>263</v>
      </c>
    </row>
    <row r="165" spans="1:1" x14ac:dyDescent="0.25">
      <c r="A165" t="s">
        <v>248</v>
      </c>
    </row>
    <row r="166" spans="1:1" x14ac:dyDescent="0.25">
      <c r="A166" t="s">
        <v>249</v>
      </c>
    </row>
    <row r="167" spans="1:1" x14ac:dyDescent="0.25">
      <c r="A167" t="s">
        <v>226</v>
      </c>
    </row>
    <row r="168" spans="1:1" x14ac:dyDescent="0.25">
      <c r="A168" t="s">
        <v>94</v>
      </c>
    </row>
    <row r="169" spans="1:1" x14ac:dyDescent="0.25">
      <c r="A169" t="s">
        <v>302</v>
      </c>
    </row>
    <row r="170" spans="1:1" x14ac:dyDescent="0.25">
      <c r="A170" t="s">
        <v>304</v>
      </c>
    </row>
    <row r="171" spans="1:1" x14ac:dyDescent="0.25">
      <c r="A171" t="s">
        <v>245</v>
      </c>
    </row>
    <row r="172" spans="1:1" x14ac:dyDescent="0.25">
      <c r="A172" t="s">
        <v>246</v>
      </c>
    </row>
    <row r="173" spans="1:1" x14ac:dyDescent="0.25">
      <c r="A173" t="s">
        <v>337</v>
      </c>
    </row>
    <row r="174" spans="1:1" x14ac:dyDescent="0.25">
      <c r="A174" t="s">
        <v>247</v>
      </c>
    </row>
    <row r="175" spans="1:1" x14ac:dyDescent="0.25">
      <c r="A175" t="s">
        <v>248</v>
      </c>
    </row>
    <row r="176" spans="1:1" x14ac:dyDescent="0.25">
      <c r="A176" t="s">
        <v>249</v>
      </c>
    </row>
    <row r="177" spans="1:1" x14ac:dyDescent="0.25">
      <c r="A177" t="s">
        <v>226</v>
      </c>
    </row>
    <row r="178" spans="1:1" x14ac:dyDescent="0.25">
      <c r="A178" t="s">
        <v>94</v>
      </c>
    </row>
    <row r="179" spans="1:1" x14ac:dyDescent="0.25">
      <c r="A179" t="s">
        <v>302</v>
      </c>
    </row>
    <row r="180" spans="1:1" x14ac:dyDescent="0.25">
      <c r="A180" t="s">
        <v>305</v>
      </c>
    </row>
    <row r="181" spans="1:1" x14ac:dyDescent="0.25">
      <c r="A181" t="s">
        <v>245</v>
      </c>
    </row>
    <row r="182" spans="1:1" x14ac:dyDescent="0.25">
      <c r="A182" t="s">
        <v>338</v>
      </c>
    </row>
    <row r="183" spans="1:1" x14ac:dyDescent="0.25">
      <c r="A183" t="s">
        <v>339</v>
      </c>
    </row>
    <row r="184" spans="1:1" x14ac:dyDescent="0.25">
      <c r="A184" t="s">
        <v>250</v>
      </c>
    </row>
    <row r="185" spans="1:1" x14ac:dyDescent="0.25">
      <c r="A185" t="s">
        <v>248</v>
      </c>
    </row>
    <row r="186" spans="1:1" x14ac:dyDescent="0.25">
      <c r="A186" t="s">
        <v>249</v>
      </c>
    </row>
    <row r="187" spans="1:1" x14ac:dyDescent="0.25">
      <c r="A187" t="s">
        <v>226</v>
      </c>
    </row>
  </sheetData>
  <pageMargins left="0.7" right="0.7" top="0.75" bottom="0.75" header="0.3" footer="0.3"/>
</worksheet>
</file>

<file path=docMetadata/LabelInfo.xml><?xml version="1.0" encoding="utf-8"?>
<clbl:labelList xmlns:clbl="http://schemas.microsoft.com/office/2020/mipLabelMetadata">
  <clbl:label id="{72f988bf-86f1-41af-91ab-2d7cd011db47}" enabled="0" method="" siteId="{72f988bf-86f1-41af-91ab-2d7cd011db4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Home</vt:lpstr>
      <vt:lpstr>ReadMe</vt:lpstr>
      <vt:lpstr>Change Log</vt:lpstr>
      <vt:lpstr>DimDate</vt:lpstr>
      <vt:lpstr>DimProduct</vt:lpstr>
      <vt:lpstr>DimCustomer</vt:lpstr>
      <vt:lpstr>FactPopularity</vt:lpstr>
      <vt:lpstr>ROLAP</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Aurelia Arnett</cp:lastModifiedBy>
  <cp:lastPrinted>2006-08-08T00:44:45Z</cp:lastPrinted>
  <dcterms:created xsi:type="dcterms:W3CDTF">2004-06-03T21:49:10Z</dcterms:created>
  <dcterms:modified xsi:type="dcterms:W3CDTF">2021-03-26T04:17:22Z</dcterms:modified>
</cp:coreProperties>
</file>